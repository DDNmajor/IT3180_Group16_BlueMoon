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6EEC3C1A-38A9-491F-AE7D-2A7BAD8E79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I47" i="1"/>
  <c r="I46" i="1"/>
  <c r="I43" i="1"/>
  <c r="I42" i="1"/>
  <c r="I41" i="1"/>
  <c r="I40" i="1"/>
  <c r="I39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<sst xmlns="http://schemas.openxmlformats.org/spreadsheetml/2006/main" count="353" uniqueCount="172">
  <si>
    <t>KẾ HOẠCH DỰ ÁN THEO AGILE/SCRUM</t>
  </si>
  <si>
    <t>TÊN DỰ ÁN: Blue Moon</t>
  </si>
  <si>
    <t>SCRUM MASTER: Trần Khánh Linh</t>
  </si>
  <si>
    <t>NGÀY BẮT ĐẦU</t>
  </si>
  <si>
    <t>NGÀY KẾT THÚC</t>
  </si>
  <si>
    <t>TIẾN ĐỘ TỔNG</t>
  </si>
  <si>
    <t>SẢN PHẨM BÀN GIAO / PHẠM VI DỰ ÁN</t>
  </si>
  <si>
    <t>Phần mềm quản lý thu phí chung cư BlueMoon</t>
  </si>
  <si>
    <t>0%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</si>
  <si>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</si>
  <si>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</si>
  <si>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</si>
  <si>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</si>
  <si>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</si>
  <si>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</si>
  <si>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</si>
  <si>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</si>
  <si>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</si>
  <si>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</si>
  <si>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</si>
  <si>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</si>
  <si>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</si>
  <si>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</si>
  <si>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</si>
  <si>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</si>
  <si>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</si>
  <si>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</si>
  <si>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</si>
  <si>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</si>
  <si>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</si>
  <si>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Dev Team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</si>
  <si>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</si>
  <si>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</si>
  <si>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</si>
  <si>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</si>
  <si>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</si>
  <si>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</si>
  <si>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</si>
  <si>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</si>
  <si>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</si>
  <si>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</si>
  <si>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</si>
  <si>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</si>
  <si>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</si>
  <si>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</si>
  <si>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</si>
  <si>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</si>
  <si>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</si>
  <si>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</si>
  <si>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</si>
  <si>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</si>
  <si>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</si>
  <si>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</si>
  <si>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</si>
  <si>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</si>
  <si>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</si>
  <si>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</si>
  <si>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</si>
  <si>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</si>
  <si>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</si>
  <si>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</si>
  <si>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</si>
  <si>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</si>
  <si>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>Ghi log bằng @Slf4j format [AUDIT] thay vì bảng DB. Liên kết RL-023, NFR-003.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</si>
  <si>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</si>
  <si>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</si>
  <si>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</si>
  <si>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</si>
  <si>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</si>
  <si>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</si>
  <si>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</si>
  <si>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</si>
  <si>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Sprint Review &amp; Retrospective Sprint 2</t>
  </si>
  <si>
    <t>Demo, đánh giá tiến độ, cập nhật Backlog.</t>
  </si>
  <si>
    <t>Bổ sung ngoài kế hoạch gốc — Sprint 1 &amp; 2</t>
  </si>
  <si>
    <t>Các tính năng thực tế đã triển khai nhưng không có trong Product Backlog ban đầu.</t>
  </si>
  <si>
    <t xml:space="preserve">    Cài đặt Quản lý người dùng (CRUD NguoiDung)</t>
  </si>
  <si>
    <t>CRUD tài khoản tại /nguoi-dung, tự bảo vệ (không tự xóa/đổi vai trò chính mình). Ngoài kế hoạch gốc.</t>
  </si>
  <si>
    <t xml:space="preserve">    Cài đặt Quản lý Loại khoản thu (LoaiKhoanThu)</t>
  </si>
  <si>
    <t>CRUD loại khoản thu tại /loai-khoan-thu, tách biệt khỏi module khoản thu. Ngoài kế hoạch gốc.</t>
  </si>
  <si>
    <t xml:space="preserve">    Cài đặt trang Theo dõi thu phí tổng hợp</t>
  </si>
  <si>
    <t>Bảng tất cả hộ vs trạng thái đóng phí tại /thanh-toan/theo-doi dùng paymentMap. Ngoài kế hoạch gốc.</t>
  </si>
  <si>
    <t xml:space="preserve">    Cài đặt logic tự động áp phí bắt buộc (autoApplyNeuBatBuoc)</t>
  </si>
  <si>
    <t>Tự tạo ThanhToan CON_NO cho mọi hộ khi có KhoanThu loại bắt buộc. Ngoài kế hoạch gốc.</t>
  </si>
  <si>
    <t xml:space="preserve">    Xây dựng hệ thống Database Migration theo phiên bản (v1–v6)</t>
  </si>
  <si>
    <t>Migration file đánh số phiên bản: bluemoon_schema.sql + migration_v2..v6. Ngoài kế hoạch gốc.</t>
  </si>
  <si>
    <t xml:space="preserve">    Cài đặt Audit Log bằng SLF4J (format [AUDIT])</t>
  </si>
  <si>
    <t>Ghi log theo format [AUDIT] Tạo|Sửa|Xóa entity bằng @Slf4j thay vì bảng DB riêng. Ngoài kế hoạch gốc.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</si>
  <si>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</si>
  <si>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</si>
  <si>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</si>
  <si>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</si>
  <si>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</si>
  <si>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</si>
  <si>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</si>
  <si>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</si>
  <si>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</si>
  <si>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</si>
  <si>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Dùng Apache POI, validate dữ liệu trước khi lưu DB. Liên kết RL-018. 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</si>
  <si>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</si>
  <si>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</si>
  <si>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</si>
  <si>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</si>
  <si>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>Tuân thủ Java Coding Convention, Javadocs. Liên kết RL-027</t>
  </si>
  <si>
    <t xml:space="preserve">    Kiểm thử tích hợp toàn bộ luồng nghiệp vụ</t>
  </si>
  <si>
    <t>4 luồng: đăng nhập, tạo khoản thu, thu phí, thống kê.</t>
  </si>
  <si>
    <t xml:space="preserve">    Hoàn thiện tài liệu dự án</t>
  </si>
  <si>
    <t>SRS, thiết kế, test report, hướng dẫn cài đặt.</t>
  </si>
  <si>
    <t xml:space="preserve">    Sprint Review &amp; Demo cuối — bàn giao v1.0</t>
  </si>
  <si>
    <t>Demo toàn bộ sản phẩm, chốt bàn giao v1.0.</t>
  </si>
  <si>
    <t>CHÚ GIẢI TRẠNG THÁI</t>
  </si>
  <si>
    <t>In Progress</t>
  </si>
  <si>
    <t>Overdue</t>
  </si>
  <si>
    <t>Blocked</t>
  </si>
  <si>
    <t>PRODUCT BACKLOG — BlueMoon Fee Management System</t>
  </si>
  <si>
    <t>Scrum Master: Trần Khánh Linh  |  Product Owner: Lê Quang Huy  |  Cập nhật lần cuối: 31/03/2026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</si>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</sst>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1"/>
      <color rgb="FF000000"/>
      <name val="Calibri"/>
    </font>
    <font>
      <b/>
      <sz val="11"/>
      <color rgb="FF1A5276"/>
      <name val="Calibri"/>
    </font>
    <font>
      <i/>
      <sz val="11"/>
      <color rgb="FF404040"/>
      <name val="Calibri"/>
    </font>
    <font>
      <b/>
      <sz val="11"/>
      <color rgb="FF7D4F00"/>
      <name val="Calibri"/>
    </font>
    <font>
      <i/>
      <sz val="11"/>
      <color rgb="FF7D4F0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82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3" fillId="9" borderId="11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0" fontId="17" fillId="8" borderId="11" xfId="0" applyFont="1" applyFill="1" applyBorder="1" applyAlignment="1">
      <alignment horizontal="center" vertical="center"/>
    </xf>
    <xf numFmtId="0" fontId="18" fillId="15" borderId="0" xfId="0" applyFont="1" applyFill="1" applyBorder="1" applyAlignment="1">
      <alignment vertical="center" wrapText="1"/>
    </xf>
    <xf numFmtId="0" fontId="19" fillId="15" borderId="0" xfId="0" applyFont="1" applyFill="1" applyBorder="1" applyAlignment="1">
      <alignment horizontal="center" vertical="center"/>
    </xf>
    <xf numFmtId="0" fontId="18" fillId="15" borderId="0" xfId="0" applyFont="1" applyFill="1" applyBorder="1" applyAlignment="1">
      <alignment vertical="center"/>
    </xf>
    <xf numFmtId="0" fontId="18" fillId="15" borderId="0" xfId="0" applyFont="1" applyFill="1" applyBorder="1"/>
    <xf numFmtId="0" fontId="18" fillId="16" borderId="0" xfId="0" applyFont="1" applyFill="1" applyBorder="1" applyAlignment="1">
      <alignment horizontal="center" vertical="center"/>
    </xf>
    <xf numFmtId="0" fontId="20" fillId="15" borderId="0" xfId="0" applyFont="1" applyFill="1" applyBorder="1" applyAlignment="1">
      <alignment vertical="center" wrapText="1"/>
    </xf>
    <xf numFmtId="0" fontId="0" fillId="17" borderId="0" xfId="0" applyFill="1" applyBorder="1"/>
    <xf numFmtId="0" fontId="21" fillId="17" borderId="0" xfId="0" applyFont="1" applyFill="1" applyBorder="1" applyAlignment="1">
      <alignment vertical="center"/>
    </xf>
    <xf numFmtId="0" fontId="19" fillId="17" borderId="0" xfId="0" applyFont="1" applyFill="1" applyBorder="1" applyAlignment="1">
      <alignment horizontal="center" vertical="center"/>
    </xf>
    <xf numFmtId="0" fontId="18" fillId="17" borderId="0" xfId="0" applyFont="1" applyFill="1" applyBorder="1" applyAlignment="1">
      <alignment vertical="center"/>
    </xf>
    <xf numFmtId="0" fontId="18" fillId="17" borderId="0" xfId="0" applyFont="1" applyFill="1" applyBorder="1"/>
    <xf numFmtId="0" fontId="21" fillId="17" borderId="0" xfId="0" applyFont="1" applyFill="1" applyBorder="1" applyAlignment="1">
      <alignment horizontal="center" vertical="center"/>
    </xf>
    <xf numFmtId="0" fontId="22" fillId="17" borderId="0" xfId="0" applyFont="1" applyFill="1" applyBorder="1" applyAlignment="1">
      <alignment vertical="center" wrapText="1"/>
    </xf>
    <xf numFmtId="0" fontId="18" fillId="0" borderId="0" xfId="0" applyFont="1" applyBorder="1"/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0" fillId="0" borderId="0" xfId="0" applyBorder="1"/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  <xf numFmtId="0" fontId="15" fillId="2" borderId="1" xfId="0" applyFont="1" applyFill="1" applyAlignment="1">
      <alignment horizontal="left" vertical="center"/>
    </xf>
    <xf numFmtId="0" fontId="9" fillId="0" borderId="1" xfId="0" applyFont="1" applyAlignment="1">
      <alignment horizontal="left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8"/>
  <sheetViews>
    <sheetView tabSelected="1" topLeftCell="A40" workbookViewId="0">
      <selection activeCell="G48" sqref="G48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17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76" t="s">
        <v>0</v>
      </c>
      <c r="C1" s="77"/>
      <c r="D1" s="77"/>
      <c r="E1" s="77"/>
      <c r="F1" s="77"/>
      <c r="G1" s="77"/>
      <c r="H1" s="77"/>
      <c r="I1" s="77"/>
      <c r="J1" s="77"/>
      <c r="K1" s="77"/>
    </row>
    <row r="2" spans="2:11" ht="34.5" customHeight="1" x14ac:dyDescent="0.3">
      <c r="C2" s="1" t="s">
        <v>1</v>
      </c>
      <c r="D2" s="1" t="s">
        <v>2</v>
      </c>
      <c r="E2" s="1" t="s">
        <v>3</v>
      </c>
      <c r="F2" s="1" t="s">
        <v>4</v>
      </c>
      <c r="H2" s="1" t="s">
        <v>5</v>
      </c>
      <c r="J2" s="74" t="s">
        <v>6</v>
      </c>
      <c r="K2" s="75"/>
    </row>
    <row r="3" spans="2:11" ht="60" customHeight="1" x14ac:dyDescent="0.3">
      <c r="C3" s="78" t="s">
        <v>7</v>
      </c>
      <c r="D3" s="79"/>
      <c r="E3" s="79"/>
      <c r="F3" s="79"/>
      <c r="G3" s="73"/>
      <c r="H3" s="2" t="s">
        <v>8</v>
      </c>
      <c r="J3" s="72" t="s">
        <v>9</v>
      </c>
      <c r="K3" s="73"/>
    </row>
    <row r="4" spans="2:11" ht="9.75" customHeight="1" x14ac:dyDescent="0.3"/>
    <row r="5" spans="2:11" ht="31.5" customHeight="1" x14ac:dyDescent="0.3">
      <c r="B5" s="3" t="s">
        <v>10</v>
      </c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17</v>
      </c>
      <c r="J5" s="3" t="s">
        <v>18</v>
      </c>
      <c r="K5" s="3" t="s">
        <v>19</v>
      </c>
    </row>
    <row r="6" spans="2:11" ht="30" customHeight="1" x14ac:dyDescent="0.3">
      <c r="B6" s="4"/>
      <c r="C6" s="5" t="s">
        <v>20</v>
      </c>
      <c r="D6" s="6"/>
      <c r="E6" s="7" t="s">
        <v>21</v>
      </c>
      <c r="F6" s="6"/>
      <c r="G6" s="6"/>
      <c r="H6" s="6"/>
      <c r="I6" s="6"/>
      <c r="J6" s="8" t="s">
        <v>22</v>
      </c>
      <c r="K6" s="9" t="s">
        <v>23</v>
      </c>
    </row>
    <row r="7" spans="2:11" ht="30" customHeight="1" x14ac:dyDescent="0.3">
      <c r="B7" s="10"/>
      <c r="C7" s="11" t="s">
        <v>24</v>
      </c>
      <c r="D7" s="12" t="s">
        <v>25</v>
      </c>
      <c r="E7" s="13" t="s">
        <v>26</v>
      </c>
      <c r="F7" s="14"/>
      <c r="G7" s="15"/>
      <c r="H7" s="15"/>
      <c r="I7" s="16" t="str">
        <f>IF(AND(G7&lt;&gt;"",H7&lt;&gt;""),H7-G7,"")</f>
        <v/>
      </c>
      <c r="J7" s="17" t="s">
        <v>22</v>
      </c>
      <c r="K7" s="18" t="s">
        <v>27</v>
      </c>
    </row>
    <row r="8" spans="2:11" ht="30" customHeight="1" x14ac:dyDescent="0.3">
      <c r="B8" s="19"/>
      <c r="C8" s="20" t="s">
        <v>28</v>
      </c>
      <c r="D8" s="21" t="s">
        <v>29</v>
      </c>
      <c r="E8" s="22" t="s">
        <v>30</v>
      </c>
      <c r="F8" s="23"/>
      <c r="G8" s="24"/>
      <c r="H8" s="24"/>
      <c r="I8" s="25" t="str">
        <f>IF(AND(G8&lt;&gt;"",H8&lt;&gt;""),H8-G8,"")</f>
        <v/>
      </c>
      <c r="J8" s="17" t="s">
        <v>22</v>
      </c>
      <c r="K8" s="26" t="s">
        <v>31</v>
      </c>
    </row>
    <row r="9" spans="2:11" ht="30" customHeight="1" x14ac:dyDescent="0.3">
      <c r="B9" s="10"/>
      <c r="C9" s="11" t="s">
        <v>32</v>
      </c>
      <c r="D9" s="27" t="s">
        <v>29</v>
      </c>
      <c r="E9" s="13" t="s">
        <v>21</v>
      </c>
      <c r="F9" s="14"/>
      <c r="G9" s="15"/>
      <c r="H9" s="15"/>
      <c r="I9" s="16" t="str">
        <f>IF(AND(G9&lt;&gt;"",H9&lt;&gt;""),H9-G9,"")</f>
        <v/>
      </c>
      <c r="J9" s="17" t="s">
        <v>22</v>
      </c>
      <c r="K9" s="18" t="s">
        <v>33</v>
      </c>
    </row>
    <row r="10" spans="2:11" ht="30" customHeight="1" x14ac:dyDescent="0.3">
      <c r="B10" s="19"/>
      <c r="C10" s="20" t="s">
        <v>34</v>
      </c>
      <c r="D10" s="28" t="s">
        <v>35</v>
      </c>
      <c r="E10" s="22" t="s">
        <v>36</v>
      </c>
      <c r="F10" s="23"/>
      <c r="G10" s="24"/>
      <c r="H10" s="24"/>
      <c r="I10" s="25" t="str">
        <f>IF(AND(G10&lt;&gt;"",H10&lt;&gt;""),H10-G10,"")</f>
        <v/>
      </c>
      <c r="J10" s="17" t="s">
        <v>22</v>
      </c>
      <c r="K10" s="26" t="s">
        <v>37</v>
      </c>
    </row>
    <row r="11" spans="2:11" ht="9.75" customHeight="1" x14ac:dyDescent="0.3"/>
    <row r="12" spans="2:11" ht="30" customHeight="1" x14ac:dyDescent="0.3">
      <c r="B12" s="4"/>
      <c r="C12" s="5" t="s">
        <v>38</v>
      </c>
      <c r="D12" s="6"/>
      <c r="E12" s="7" t="s">
        <v>26</v>
      </c>
      <c r="F12" s="6"/>
      <c r="G12" s="6"/>
      <c r="H12" s="6"/>
      <c r="I12" s="6"/>
      <c r="J12" s="8" t="s">
        <v>22</v>
      </c>
      <c r="K12" s="9" t="s">
        <v>39</v>
      </c>
    </row>
    <row r="13" spans="2:11" ht="30" customHeight="1" x14ac:dyDescent="0.3">
      <c r="B13" s="10"/>
      <c r="C13" s="11" t="s">
        <v>40</v>
      </c>
      <c r="D13" s="12" t="s">
        <v>25</v>
      </c>
      <c r="E13" s="13" t="s">
        <v>30</v>
      </c>
      <c r="F13" s="14"/>
      <c r="G13" s="15"/>
      <c r="H13" s="15"/>
      <c r="I13" s="16" t="str">
        <f t="shared" ref="I13:I19" si="0">IF(AND(G13&lt;&gt;"",H13&lt;&gt;""),H13-G13,"")</f>
        <v/>
      </c>
      <c r="J13" s="17" t="s">
        <v>22</v>
      </c>
      <c r="K13" s="18" t="s">
        <v>41</v>
      </c>
    </row>
    <row r="14" spans="2:11" ht="30" customHeight="1" x14ac:dyDescent="0.3">
      <c r="B14" s="19"/>
      <c r="C14" s="20" t="s">
        <v>42</v>
      </c>
      <c r="D14" s="29" t="s">
        <v>25</v>
      </c>
      <c r="E14" s="22" t="s">
        <v>30</v>
      </c>
      <c r="F14" s="23"/>
      <c r="G14" s="24"/>
      <c r="H14" s="24"/>
      <c r="I14" s="25" t="str">
        <f t="shared" si="0"/>
        <v/>
      </c>
      <c r="J14" s="17" t="s">
        <v>22</v>
      </c>
      <c r="K14" s="26" t="s">
        <v>43</v>
      </c>
    </row>
    <row r="15" spans="2:11" ht="30" customHeight="1" x14ac:dyDescent="0.3">
      <c r="B15" s="10"/>
      <c r="C15" s="11" t="s">
        <v>44</v>
      </c>
      <c r="D15" s="12" t="s">
        <v>25</v>
      </c>
      <c r="E15" s="13" t="s">
        <v>30</v>
      </c>
      <c r="F15" s="14"/>
      <c r="G15" s="15"/>
      <c r="H15" s="15"/>
      <c r="I15" s="16" t="str">
        <f t="shared" si="0"/>
        <v/>
      </c>
      <c r="J15" s="17" t="s">
        <v>22</v>
      </c>
      <c r="K15" s="18" t="s">
        <v>45</v>
      </c>
    </row>
    <row r="16" spans="2:11" ht="30" customHeight="1" x14ac:dyDescent="0.3">
      <c r="B16" s="19"/>
      <c r="C16" s="20" t="s">
        <v>46</v>
      </c>
      <c r="D16" s="29" t="s">
        <v>25</v>
      </c>
      <c r="E16" s="22" t="s">
        <v>30</v>
      </c>
      <c r="F16" s="23"/>
      <c r="G16" s="24"/>
      <c r="H16" s="24"/>
      <c r="I16" s="25" t="str">
        <f t="shared" si="0"/>
        <v/>
      </c>
      <c r="J16" s="17" t="s">
        <v>22</v>
      </c>
      <c r="K16" s="26" t="s">
        <v>47</v>
      </c>
    </row>
    <row r="17" spans="1:11" ht="30" customHeight="1" x14ac:dyDescent="0.3">
      <c r="B17" s="10"/>
      <c r="C17" s="11" t="s">
        <v>48</v>
      </c>
      <c r="D17" s="12" t="s">
        <v>25</v>
      </c>
      <c r="E17" s="13" t="s">
        <v>30</v>
      </c>
      <c r="F17" s="14"/>
      <c r="G17" s="15"/>
      <c r="H17" s="15"/>
      <c r="I17" s="16" t="str">
        <f t="shared" si="0"/>
        <v/>
      </c>
      <c r="J17" s="17" t="s">
        <v>22</v>
      </c>
      <c r="K17" s="18" t="s">
        <v>49</v>
      </c>
    </row>
    <row r="18" spans="1:11" ht="30" customHeight="1" x14ac:dyDescent="0.3">
      <c r="B18" s="19"/>
      <c r="C18" s="20" t="s">
        <v>50</v>
      </c>
      <c r="D18" s="21" t="s">
        <v>29</v>
      </c>
      <c r="E18" s="22" t="s">
        <v>30</v>
      </c>
      <c r="F18" s="23"/>
      <c r="G18" s="24"/>
      <c r="H18" s="24"/>
      <c r="I18" s="25" t="str">
        <f t="shared" si="0"/>
        <v/>
      </c>
      <c r="J18" s="17" t="s">
        <v>22</v>
      </c>
      <c r="K18" s="26" t="s">
        <v>51</v>
      </c>
    </row>
    <row r="19" spans="1:11" ht="30" customHeight="1" x14ac:dyDescent="0.3">
      <c r="B19" s="10"/>
      <c r="C19" s="11" t="s">
        <v>52</v>
      </c>
      <c r="D19" s="30" t="s">
        <v>35</v>
      </c>
      <c r="E19" s="13" t="s">
        <v>36</v>
      </c>
      <c r="F19" s="14"/>
      <c r="G19" s="15"/>
      <c r="H19" s="15"/>
      <c r="I19" s="16" t="str">
        <f t="shared" si="0"/>
        <v/>
      </c>
      <c r="J19" s="17" t="s">
        <v>22</v>
      </c>
      <c r="K19" s="18" t="s">
        <v>53</v>
      </c>
    </row>
    <row r="20" spans="1:11" ht="9.75" customHeight="1" x14ac:dyDescent="0.3"/>
    <row r="21" spans="1:11" ht="30" customHeight="1" x14ac:dyDescent="0.3">
      <c r="B21" s="4"/>
      <c r="C21" s="5" t="s">
        <v>54</v>
      </c>
      <c r="D21" s="6"/>
      <c r="E21" s="7" t="s">
        <v>26</v>
      </c>
      <c r="F21" s="6"/>
      <c r="G21" s="6"/>
      <c r="H21" s="6"/>
      <c r="I21" s="6"/>
      <c r="J21" s="8" t="s">
        <v>22</v>
      </c>
      <c r="K21" s="9" t="s">
        <v>55</v>
      </c>
    </row>
    <row r="22" spans="1:11" ht="30" customHeight="1" x14ac:dyDescent="0.3">
      <c r="B22" s="10"/>
      <c r="C22" s="11" t="s">
        <v>56</v>
      </c>
      <c r="D22" s="12" t="s">
        <v>25</v>
      </c>
      <c r="E22" s="13" t="s">
        <v>30</v>
      </c>
      <c r="F22" s="14"/>
      <c r="G22" s="15"/>
      <c r="H22" s="15"/>
      <c r="I22" s="16" t="str">
        <f t="shared" ref="I22:I32" si="1">IF(AND(G22&lt;&gt;"",H22&lt;&gt;""),H22-G22,"")</f>
        <v/>
      </c>
      <c r="J22" s="17" t="s">
        <v>22</v>
      </c>
      <c r="K22" s="18" t="s">
        <v>57</v>
      </c>
    </row>
    <row r="23" spans="1:11" ht="30" customHeight="1" x14ac:dyDescent="0.3">
      <c r="B23" s="19"/>
      <c r="C23" s="20" t="s">
        <v>58</v>
      </c>
      <c r="D23" s="29" t="s">
        <v>25</v>
      </c>
      <c r="E23" s="22" t="s">
        <v>30</v>
      </c>
      <c r="F23" s="23"/>
      <c r="G23" s="24"/>
      <c r="H23" s="24"/>
      <c r="I23" s="25" t="str">
        <f t="shared" si="1"/>
        <v/>
      </c>
      <c r="J23" s="17" t="s">
        <v>22</v>
      </c>
      <c r="K23" s="26" t="s">
        <v>59</v>
      </c>
    </row>
    <row r="24" spans="1:11" ht="30" customHeight="1" x14ac:dyDescent="0.3">
      <c r="B24" s="10"/>
      <c r="C24" s="11" t="s">
        <v>60</v>
      </c>
      <c r="D24" s="12" t="s">
        <v>25</v>
      </c>
      <c r="E24" s="13" t="s">
        <v>30</v>
      </c>
      <c r="F24" s="14"/>
      <c r="G24" s="15"/>
      <c r="H24" s="15"/>
      <c r="I24" s="16" t="str">
        <f t="shared" si="1"/>
        <v/>
      </c>
      <c r="J24" s="17" t="s">
        <v>22</v>
      </c>
      <c r="K24" s="18" t="s">
        <v>61</v>
      </c>
    </row>
    <row r="25" spans="1:11" ht="30" customHeight="1" x14ac:dyDescent="0.3">
      <c r="B25" s="19"/>
      <c r="C25" s="20" t="s">
        <v>62</v>
      </c>
      <c r="D25" s="21" t="s">
        <v>29</v>
      </c>
      <c r="E25" s="22" t="s">
        <v>30</v>
      </c>
      <c r="F25" s="23"/>
      <c r="G25" s="24"/>
      <c r="H25" s="24"/>
      <c r="I25" s="25" t="str">
        <f t="shared" si="1"/>
        <v/>
      </c>
      <c r="J25" s="17" t="s">
        <v>22</v>
      </c>
      <c r="K25" s="26" t="s">
        <v>63</v>
      </c>
    </row>
    <row r="26" spans="1:11" ht="30" customHeight="1" x14ac:dyDescent="0.3">
      <c r="B26" s="31"/>
      <c r="C26" s="32" t="s">
        <v>64</v>
      </c>
      <c r="D26" s="33" t="s">
        <v>25</v>
      </c>
      <c r="E26" s="34" t="s">
        <v>30</v>
      </c>
      <c r="F26" s="35"/>
      <c r="G26" s="36"/>
      <c r="H26" s="36"/>
      <c r="I26" s="37" t="str">
        <f t="shared" si="1"/>
        <v/>
      </c>
      <c r="J26" s="17" t="s">
        <v>22</v>
      </c>
      <c r="K26" s="38" t="s">
        <v>65</v>
      </c>
    </row>
    <row r="27" spans="1:11" ht="30" customHeight="1" x14ac:dyDescent="0.3">
      <c r="B27" s="19"/>
      <c r="C27" s="20" t="s">
        <v>66</v>
      </c>
      <c r="D27" s="29" t="s">
        <v>25</v>
      </c>
      <c r="E27" s="22" t="s">
        <v>30</v>
      </c>
      <c r="F27" s="23"/>
      <c r="G27" s="24"/>
      <c r="H27" s="24"/>
      <c r="I27" s="25" t="str">
        <f t="shared" si="1"/>
        <v/>
      </c>
      <c r="J27" s="17" t="s">
        <v>22</v>
      </c>
      <c r="K27" s="26" t="s">
        <v>67</v>
      </c>
    </row>
    <row r="28" spans="1:11" ht="30" customHeight="1" x14ac:dyDescent="0.3">
      <c r="B28" s="31"/>
      <c r="C28" s="32" t="s">
        <v>68</v>
      </c>
      <c r="D28" s="33" t="s">
        <v>25</v>
      </c>
      <c r="E28" s="34" t="s">
        <v>30</v>
      </c>
      <c r="F28" s="35"/>
      <c r="G28" s="36"/>
      <c r="H28" s="36"/>
      <c r="I28" s="37" t="str">
        <f t="shared" si="1"/>
        <v/>
      </c>
      <c r="J28" s="17" t="s">
        <v>22</v>
      </c>
      <c r="K28" s="38" t="s">
        <v>69</v>
      </c>
    </row>
    <row r="29" spans="1:11" ht="30" customHeight="1" x14ac:dyDescent="0.3">
      <c r="B29" s="19"/>
      <c r="C29" s="20" t="s">
        <v>70</v>
      </c>
      <c r="D29" s="21" t="s">
        <v>29</v>
      </c>
      <c r="E29" s="22" t="s">
        <v>30</v>
      </c>
      <c r="F29" s="23"/>
      <c r="G29" s="24"/>
      <c r="H29" s="24"/>
      <c r="I29" s="25" t="str">
        <f t="shared" si="1"/>
        <v/>
      </c>
      <c r="J29" s="17" t="s">
        <v>22</v>
      </c>
      <c r="K29" s="26" t="s">
        <v>71</v>
      </c>
    </row>
    <row r="30" spans="1:11" ht="30" customHeight="1" x14ac:dyDescent="0.3">
      <c r="B30" s="31"/>
      <c r="C30" s="32" t="s">
        <v>72</v>
      </c>
      <c r="D30" s="39" t="s">
        <v>35</v>
      </c>
      <c r="E30" s="34" t="s">
        <v>36</v>
      </c>
      <c r="F30" s="35"/>
      <c r="G30" s="36"/>
      <c r="H30" s="36"/>
      <c r="I30" s="37" t="str">
        <f t="shared" si="1"/>
        <v/>
      </c>
      <c r="J30" s="17" t="s">
        <v>22</v>
      </c>
      <c r="K30" s="38" t="s">
        <v>73</v>
      </c>
    </row>
    <row r="31" spans="1:11" ht="34.200000000000003" customHeight="1" x14ac:dyDescent="0.3">
      <c r="A31" s="64"/>
      <c r="B31" s="64"/>
      <c r="C31" s="65" t="s">
        <v>74</v>
      </c>
      <c r="D31" s="66" t="s">
        <v>25</v>
      </c>
      <c r="E31" s="67" t="s">
        <v>30</v>
      </c>
      <c r="F31" s="64"/>
      <c r="G31" s="64"/>
      <c r="H31" s="64"/>
      <c r="I31" s="68" t="str">
        <f t="shared" si="1"/>
        <v/>
      </c>
      <c r="J31" s="69" t="s">
        <v>22</v>
      </c>
      <c r="K31" s="70" t="s">
        <v>75</v>
      </c>
    </row>
    <row r="32" spans="1:11" ht="30" customHeight="1" x14ac:dyDescent="0.3">
      <c r="C32" s="58" t="s">
        <v>76</v>
      </c>
      <c r="D32" s="59" t="s">
        <v>25</v>
      </c>
      <c r="E32" s="61" t="s">
        <v>30</v>
      </c>
      <c r="I32" s="71" t="str">
        <f t="shared" si="1"/>
        <v/>
      </c>
      <c r="J32" s="62" t="s">
        <v>22</v>
      </c>
      <c r="K32" s="63" t="s">
        <v>77</v>
      </c>
    </row>
    <row r="33" spans="2:11" ht="30" customHeight="1" x14ac:dyDescent="0.3">
      <c r="C33" s="58" t="s">
        <v>78</v>
      </c>
      <c r="D33" s="59" t="s">
        <v>25</v>
      </c>
      <c r="E33" s="60" t="s">
        <v>30</v>
      </c>
      <c r="I33" s="61" t="str">
        <f t="shared" ref="I33:I37" si="2">IF(AND(G32&lt;&gt;"",H32&lt;&gt;""),H32-G32,"")</f>
        <v/>
      </c>
      <c r="J33" s="62" t="s">
        <v>22</v>
      </c>
      <c r="K33" s="63" t="s">
        <v>79</v>
      </c>
    </row>
    <row r="34" spans="2:11" ht="30" customHeight="1" x14ac:dyDescent="0.3">
      <c r="C34" s="58" t="s">
        <v>80</v>
      </c>
      <c r="D34" s="59" t="s">
        <v>25</v>
      </c>
      <c r="E34" s="60" t="s">
        <v>30</v>
      </c>
      <c r="I34" s="61" t="str">
        <f t="shared" si="2"/>
        <v/>
      </c>
      <c r="J34" s="62" t="s">
        <v>22</v>
      </c>
      <c r="K34" s="63" t="s">
        <v>81</v>
      </c>
    </row>
    <row r="35" spans="2:11" ht="42.6" customHeight="1" x14ac:dyDescent="0.3">
      <c r="C35" s="58" t="s">
        <v>82</v>
      </c>
      <c r="D35" s="59" t="s">
        <v>25</v>
      </c>
      <c r="E35" s="60" t="s">
        <v>30</v>
      </c>
      <c r="I35" s="61" t="str">
        <f t="shared" si="2"/>
        <v/>
      </c>
      <c r="J35" s="62" t="s">
        <v>22</v>
      </c>
      <c r="K35" s="63" t="s">
        <v>83</v>
      </c>
    </row>
    <row r="36" spans="2:11" ht="42" customHeight="1" x14ac:dyDescent="0.3">
      <c r="C36" s="58" t="s">
        <v>84</v>
      </c>
      <c r="D36" s="59" t="s">
        <v>29</v>
      </c>
      <c r="E36" s="60" t="s">
        <v>30</v>
      </c>
      <c r="I36" s="61" t="str">
        <f t="shared" si="2"/>
        <v/>
      </c>
      <c r="J36" s="62" t="s">
        <v>22</v>
      </c>
      <c r="K36" s="63" t="s">
        <v>85</v>
      </c>
    </row>
    <row r="37" spans="2:11" ht="30" customHeight="1" x14ac:dyDescent="0.3">
      <c r="C37" s="58" t="s">
        <v>86</v>
      </c>
      <c r="D37" s="59" t="s">
        <v>29</v>
      </c>
      <c r="E37" s="60" t="s">
        <v>30</v>
      </c>
      <c r="I37" s="61" t="str">
        <f t="shared" si="2"/>
        <v/>
      </c>
      <c r="J37" s="62" t="s">
        <v>22</v>
      </c>
      <c r="K37" s="63" t="s">
        <v>87</v>
      </c>
    </row>
    <row r="38" spans="2:11" ht="30" customHeight="1" x14ac:dyDescent="0.3">
      <c r="B38" s="4"/>
      <c r="C38" s="5" t="s">
        <v>88</v>
      </c>
      <c r="D38" s="6"/>
      <c r="E38" s="7" t="s">
        <v>26</v>
      </c>
      <c r="F38" s="6"/>
      <c r="G38" s="6"/>
      <c r="H38" s="6"/>
      <c r="I38" s="6"/>
      <c r="J38" s="8" t="s">
        <v>89</v>
      </c>
      <c r="K38" s="9" t="s">
        <v>90</v>
      </c>
    </row>
    <row r="39" spans="2:11" ht="30" customHeight="1" x14ac:dyDescent="0.3">
      <c r="B39" s="10"/>
      <c r="C39" s="11" t="s">
        <v>91</v>
      </c>
      <c r="D39" s="12" t="s">
        <v>25</v>
      </c>
      <c r="E39" s="13" t="s">
        <v>30</v>
      </c>
      <c r="F39" s="14"/>
      <c r="G39" s="15"/>
      <c r="H39" s="15"/>
      <c r="I39" s="16" t="str">
        <f>IF(AND(G33&lt;&gt;"",H33&lt;&gt;""),H33-G33,"")</f>
        <v/>
      </c>
      <c r="J39" s="17" t="s">
        <v>89</v>
      </c>
      <c r="K39" s="18" t="s">
        <v>92</v>
      </c>
    </row>
    <row r="40" spans="2:11" ht="30" customHeight="1" x14ac:dyDescent="0.3">
      <c r="B40" s="19"/>
      <c r="C40" s="20" t="s">
        <v>93</v>
      </c>
      <c r="D40" s="29" t="s">
        <v>25</v>
      </c>
      <c r="E40" s="22" t="s">
        <v>30</v>
      </c>
      <c r="F40" s="23"/>
      <c r="G40" s="24"/>
      <c r="H40" s="24"/>
      <c r="I40" s="25" t="str">
        <f>IF(AND(G34&lt;&gt;"",H34&lt;&gt;""),H34-G34,"")</f>
        <v/>
      </c>
      <c r="J40" s="17" t="s">
        <v>89</v>
      </c>
      <c r="K40" s="26" t="s">
        <v>94</v>
      </c>
    </row>
    <row r="41" spans="2:11" ht="36.6" customHeight="1" x14ac:dyDescent="0.3">
      <c r="B41" s="31"/>
      <c r="C41" s="32" t="s">
        <v>95</v>
      </c>
      <c r="D41" s="33" t="s">
        <v>25</v>
      </c>
      <c r="E41" s="34" t="s">
        <v>30</v>
      </c>
      <c r="F41" s="35"/>
      <c r="G41" s="36"/>
      <c r="H41" s="36"/>
      <c r="I41" s="37" t="str">
        <f>IF(AND(G35&lt;&gt;"",H35&lt;&gt;""),H35-G35,"")</f>
        <v/>
      </c>
      <c r="J41" s="17" t="s">
        <v>89</v>
      </c>
      <c r="K41" s="38" t="s">
        <v>96</v>
      </c>
    </row>
    <row r="42" spans="2:11" ht="36.6" customHeight="1" x14ac:dyDescent="0.3">
      <c r="B42" s="19"/>
      <c r="C42" s="20" t="s">
        <v>97</v>
      </c>
      <c r="D42" s="29" t="s">
        <v>25</v>
      </c>
      <c r="E42" s="22" t="s">
        <v>30</v>
      </c>
      <c r="F42" s="23"/>
      <c r="G42" s="24"/>
      <c r="H42" s="24"/>
      <c r="I42" s="25" t="str">
        <f>IF(AND(G36&lt;&gt;"",H36&lt;&gt;""),H36-G36,"")</f>
        <v/>
      </c>
      <c r="J42" s="17" t="s">
        <v>89</v>
      </c>
      <c r="K42" s="26" t="s">
        <v>98</v>
      </c>
    </row>
    <row r="43" spans="2:11" ht="30" customHeight="1" x14ac:dyDescent="0.3">
      <c r="B43" s="10"/>
      <c r="C43" s="11" t="s">
        <v>99</v>
      </c>
      <c r="D43" s="12" t="s">
        <v>25</v>
      </c>
      <c r="E43" s="13" t="s">
        <v>30</v>
      </c>
      <c r="F43" s="14"/>
      <c r="G43" s="15"/>
      <c r="H43" s="15"/>
      <c r="I43" s="16" t="str">
        <f>IF(AND(G37&lt;&gt;"",H37&lt;&gt;""),H37-G37,"")</f>
        <v/>
      </c>
      <c r="J43" s="17" t="s">
        <v>89</v>
      </c>
      <c r="K43" s="18" t="s">
        <v>100</v>
      </c>
    </row>
    <row r="44" spans="2:11" ht="18" customHeight="1" x14ac:dyDescent="0.3">
      <c r="B44" s="19"/>
      <c r="C44" s="20" t="s">
        <v>101</v>
      </c>
      <c r="D44" s="29" t="s">
        <v>25</v>
      </c>
      <c r="E44" s="22" t="s">
        <v>30</v>
      </c>
      <c r="F44" s="23"/>
      <c r="G44" s="24"/>
      <c r="H44" s="24"/>
      <c r="I44" s="25"/>
      <c r="J44" s="62" t="s">
        <v>22</v>
      </c>
      <c r="K44" s="18" t="s">
        <v>103</v>
      </c>
    </row>
    <row r="45" spans="2:11" ht="33" customHeight="1" x14ac:dyDescent="0.3">
      <c r="B45" s="10"/>
      <c r="C45" s="11" t="s">
        <v>102</v>
      </c>
      <c r="D45" s="27" t="s">
        <v>29</v>
      </c>
      <c r="E45" s="13" t="s">
        <v>30</v>
      </c>
      <c r="F45" s="14"/>
      <c r="G45" s="15"/>
      <c r="H45" s="15"/>
      <c r="I45" s="16"/>
      <c r="J45" s="17" t="s">
        <v>89</v>
      </c>
    </row>
    <row r="46" spans="2:11" ht="29.4" customHeight="1" x14ac:dyDescent="0.3">
      <c r="B46" s="19"/>
      <c r="C46" s="20" t="s">
        <v>104</v>
      </c>
      <c r="D46" s="21" t="s">
        <v>29</v>
      </c>
      <c r="E46" s="22" t="s">
        <v>30</v>
      </c>
      <c r="F46" s="23"/>
      <c r="G46" s="24"/>
      <c r="H46" s="24"/>
      <c r="I46" s="25" t="str">
        <f t="shared" ref="I46:I48" si="3">IF(AND(G38&lt;&gt;"",H38&lt;&gt;""),H38-G38,"")</f>
        <v/>
      </c>
      <c r="J46" s="17" t="s">
        <v>89</v>
      </c>
      <c r="K46" s="26" t="s">
        <v>105</v>
      </c>
    </row>
    <row r="47" spans="2:11" ht="18" customHeight="1" x14ac:dyDescent="0.3">
      <c r="B47" s="10"/>
      <c r="C47" s="11" t="s">
        <v>106</v>
      </c>
      <c r="D47" s="27" t="s">
        <v>29</v>
      </c>
      <c r="E47" s="13" t="s">
        <v>36</v>
      </c>
      <c r="F47" s="14"/>
      <c r="G47" s="15"/>
      <c r="H47" s="15"/>
      <c r="I47" s="16" t="str">
        <f t="shared" si="3"/>
        <v/>
      </c>
      <c r="J47" s="17" t="s">
        <v>89</v>
      </c>
      <c r="K47" s="18" t="s">
        <v>107</v>
      </c>
    </row>
    <row r="48" spans="2:11" ht="31.8" customHeight="1" x14ac:dyDescent="0.3">
      <c r="B48" s="19"/>
      <c r="C48" s="20" t="s">
        <v>108</v>
      </c>
      <c r="D48" s="28" t="s">
        <v>35</v>
      </c>
      <c r="E48" s="22" t="s">
        <v>36</v>
      </c>
      <c r="F48" s="23"/>
      <c r="G48" s="24"/>
      <c r="H48" s="24"/>
      <c r="I48" s="25" t="str">
        <f t="shared" si="3"/>
        <v/>
      </c>
      <c r="J48" s="17" t="s">
        <v>89</v>
      </c>
      <c r="K48" s="26" t="s">
        <v>109</v>
      </c>
    </row>
    <row r="49" spans="3:3" ht="13.5" customHeight="1" x14ac:dyDescent="0.3"/>
    <row r="50" spans="3:3" ht="13.5" customHeight="1" x14ac:dyDescent="0.3"/>
    <row r="51" spans="3:3" ht="13.5" customHeight="1" x14ac:dyDescent="0.3">
      <c r="C51" s="40" t="s">
        <v>110</v>
      </c>
    </row>
    <row r="52" spans="3:3" ht="13.5" customHeight="1" x14ac:dyDescent="0.3">
      <c r="C52" s="41" t="s">
        <v>89</v>
      </c>
    </row>
    <row r="53" spans="3:3" ht="13.5" customHeight="1" x14ac:dyDescent="0.3">
      <c r="C53" s="42" t="s">
        <v>111</v>
      </c>
    </row>
    <row r="54" spans="3:3" ht="13.5" customHeight="1" x14ac:dyDescent="0.3">
      <c r="C54" s="43" t="s">
        <v>22</v>
      </c>
    </row>
    <row r="55" spans="3:3" ht="13.5" customHeight="1" x14ac:dyDescent="0.3">
      <c r="C55" s="44" t="s">
        <v>112</v>
      </c>
    </row>
    <row r="56" spans="3:3" ht="13.5" customHeight="1" x14ac:dyDescent="0.3">
      <c r="C56" s="45" t="s">
        <v>113</v>
      </c>
    </row>
    <row r="57" spans="3:3" ht="13.5" customHeight="1" x14ac:dyDescent="0.3"/>
    <row r="58" spans="3:3" ht="13.5" customHeight="1" x14ac:dyDescent="0.3"/>
    <row r="59" spans="3:3" ht="13.5" customHeight="1" x14ac:dyDescent="0.3"/>
    <row r="60" spans="3:3" ht="13.5" customHeight="1" x14ac:dyDescent="0.3"/>
    <row r="61" spans="3:3" ht="13.5" customHeight="1" x14ac:dyDescent="0.3"/>
    <row r="62" spans="3:3" ht="13.5" customHeight="1" x14ac:dyDescent="0.3"/>
    <row r="63" spans="3:3" ht="13.5" customHeight="1" x14ac:dyDescent="0.3"/>
    <row r="64" spans="3: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</sheetData>
  <mergeCells count="4">
    <mergeCell ref="J3:K3"/>
    <mergeCell ref="J2:K2"/>
    <mergeCell ref="B1:K1"/>
    <mergeCell ref="C3:G3"/>
  </mergeCells>
  <dataValidations count="1">
    <dataValidation type="list" allowBlank="1" sqref="J7:J10 J13:J19 J22:J30 J44 J33:J40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topLeftCell="A20" workbookViewId="0">
      <selection activeCell="D12" sqref="D12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26" width="8.6640625" customWidth="1"/>
  </cols>
  <sheetData>
    <row r="1" spans="2:9" ht="39.75" customHeight="1" x14ac:dyDescent="0.3">
      <c r="B1" s="80" t="s">
        <v>114</v>
      </c>
      <c r="C1" s="77"/>
      <c r="D1" s="77"/>
      <c r="E1" s="77"/>
      <c r="F1" s="77"/>
      <c r="G1" s="77"/>
      <c r="H1" s="77"/>
    </row>
    <row r="2" spans="2:9" ht="18" customHeight="1" x14ac:dyDescent="0.3">
      <c r="B2" s="81" t="s">
        <v>115</v>
      </c>
      <c r="C2" s="77"/>
      <c r="D2" s="77"/>
      <c r="E2" s="77"/>
      <c r="F2" s="77"/>
      <c r="G2" s="77"/>
      <c r="H2" s="77"/>
    </row>
    <row r="3" spans="2:9" ht="27.75" customHeight="1" x14ac:dyDescent="0.3">
      <c r="B3" s="3" t="s">
        <v>116</v>
      </c>
      <c r="C3" s="3" t="s">
        <v>117</v>
      </c>
      <c r="D3" s="3" t="s">
        <v>118</v>
      </c>
      <c r="E3" s="3" t="s">
        <v>12</v>
      </c>
      <c r="F3" s="3" t="s">
        <v>119</v>
      </c>
      <c r="G3" s="3" t="s">
        <v>14</v>
      </c>
      <c r="H3" s="3" t="s">
        <v>18</v>
      </c>
      <c r="I3" s="3" t="s">
        <v>120</v>
      </c>
    </row>
    <row r="4" spans="2:9" ht="27.75" customHeight="1" x14ac:dyDescent="0.3">
      <c r="B4" s="46">
        <v>1</v>
      </c>
      <c r="C4" s="11" t="s">
        <v>121</v>
      </c>
      <c r="D4" s="46" t="s">
        <v>122</v>
      </c>
      <c r="E4" s="47" t="s">
        <v>25</v>
      </c>
      <c r="F4" s="46" t="s">
        <v>123</v>
      </c>
      <c r="G4" s="46"/>
      <c r="H4" s="17" t="s">
        <v>89</v>
      </c>
      <c r="I4" s="11"/>
    </row>
    <row r="5" spans="2:9" ht="27.75" customHeight="1" x14ac:dyDescent="0.3">
      <c r="B5" s="48">
        <v>2</v>
      </c>
      <c r="C5" s="49" t="s">
        <v>124</v>
      </c>
      <c r="D5" s="48" t="s">
        <v>125</v>
      </c>
      <c r="E5" s="50" t="s">
        <v>25</v>
      </c>
      <c r="F5" s="48" t="s">
        <v>123</v>
      </c>
      <c r="G5" s="48"/>
      <c r="H5" s="17" t="s">
        <v>89</v>
      </c>
      <c r="I5" s="49"/>
    </row>
    <row r="6" spans="2:9" ht="27.75" customHeight="1" x14ac:dyDescent="0.3">
      <c r="B6" s="46">
        <v>3</v>
      </c>
      <c r="C6" s="11" t="s">
        <v>126</v>
      </c>
      <c r="D6" s="46" t="s">
        <v>127</v>
      </c>
      <c r="E6" s="47" t="s">
        <v>25</v>
      </c>
      <c r="F6" s="46" t="s">
        <v>123</v>
      </c>
      <c r="G6" s="46"/>
      <c r="H6" s="17" t="s">
        <v>89</v>
      </c>
      <c r="I6" s="11"/>
    </row>
    <row r="7" spans="2:9" ht="27.75" customHeight="1" x14ac:dyDescent="0.3">
      <c r="B7" s="48">
        <v>4</v>
      </c>
      <c r="C7" s="49" t="s">
        <v>128</v>
      </c>
      <c r="D7" s="48" t="s">
        <v>129</v>
      </c>
      <c r="E7" s="50" t="s">
        <v>25</v>
      </c>
      <c r="F7" s="48" t="s">
        <v>123</v>
      </c>
      <c r="G7" s="48"/>
      <c r="H7" s="17" t="s">
        <v>89</v>
      </c>
      <c r="I7" s="49"/>
    </row>
    <row r="8" spans="2:9" ht="27.75" customHeight="1" x14ac:dyDescent="0.3">
      <c r="B8" s="46">
        <v>5</v>
      </c>
      <c r="C8" s="11" t="s">
        <v>130</v>
      </c>
      <c r="D8" s="46" t="s">
        <v>131</v>
      </c>
      <c r="E8" s="47" t="s">
        <v>25</v>
      </c>
      <c r="F8" s="46" t="s">
        <v>123</v>
      </c>
      <c r="G8" s="46"/>
      <c r="H8" s="17" t="s">
        <v>89</v>
      </c>
      <c r="I8" s="11"/>
    </row>
    <row r="9" spans="2:9" ht="27.75" customHeight="1" x14ac:dyDescent="0.3">
      <c r="B9" s="48">
        <v>6</v>
      </c>
      <c r="C9" s="49" t="s">
        <v>132</v>
      </c>
      <c r="D9" s="48" t="s">
        <v>133</v>
      </c>
      <c r="E9" s="50" t="s">
        <v>25</v>
      </c>
      <c r="F9" s="48" t="s">
        <v>134</v>
      </c>
      <c r="G9" s="48"/>
      <c r="H9" s="17" t="s">
        <v>89</v>
      </c>
      <c r="I9" s="49"/>
    </row>
    <row r="10" spans="2:9" ht="27.75" customHeight="1" x14ac:dyDescent="0.3">
      <c r="B10" s="46">
        <v>7</v>
      </c>
      <c r="C10" s="11" t="s">
        <v>135</v>
      </c>
      <c r="D10" s="46" t="s">
        <v>136</v>
      </c>
      <c r="E10" s="47" t="s">
        <v>25</v>
      </c>
      <c r="F10" s="46" t="s">
        <v>134</v>
      </c>
      <c r="G10" s="46"/>
      <c r="H10" s="17" t="s">
        <v>89</v>
      </c>
      <c r="I10" s="11"/>
    </row>
    <row r="11" spans="2:9" ht="27.75" customHeight="1" x14ac:dyDescent="0.3">
      <c r="B11" s="48">
        <v>8</v>
      </c>
      <c r="C11" s="49" t="s">
        <v>137</v>
      </c>
      <c r="D11" s="48" t="s">
        <v>138</v>
      </c>
      <c r="E11" s="50" t="s">
        <v>25</v>
      </c>
      <c r="F11" s="48" t="s">
        <v>134</v>
      </c>
      <c r="G11" s="48"/>
      <c r="H11" s="17" t="s">
        <v>89</v>
      </c>
      <c r="I11" s="49"/>
    </row>
    <row r="12" spans="2:9" ht="27.75" customHeight="1" x14ac:dyDescent="0.3">
      <c r="B12" s="46">
        <v>9</v>
      </c>
      <c r="C12" s="11" t="s">
        <v>139</v>
      </c>
      <c r="D12" s="46" t="s">
        <v>140</v>
      </c>
      <c r="E12" s="47" t="s">
        <v>25</v>
      </c>
      <c r="F12" s="46" t="s">
        <v>134</v>
      </c>
      <c r="G12" s="46"/>
      <c r="H12" s="17" t="s">
        <v>89</v>
      </c>
      <c r="I12" s="11"/>
    </row>
    <row r="13" spans="2:9" ht="27.75" customHeight="1" x14ac:dyDescent="0.3">
      <c r="B13" s="48">
        <v>10</v>
      </c>
      <c r="C13" s="49" t="s">
        <v>141</v>
      </c>
      <c r="D13" s="48" t="s">
        <v>142</v>
      </c>
      <c r="E13" s="50" t="s">
        <v>25</v>
      </c>
      <c r="F13" s="48" t="s">
        <v>134</v>
      </c>
      <c r="G13" s="48"/>
      <c r="H13" s="17" t="s">
        <v>89</v>
      </c>
      <c r="I13" s="49"/>
    </row>
    <row r="14" spans="2:9" ht="27.75" customHeight="1" x14ac:dyDescent="0.3">
      <c r="B14" s="46">
        <v>11</v>
      </c>
      <c r="C14" s="11" t="s">
        <v>143</v>
      </c>
      <c r="D14" s="46" t="s">
        <v>144</v>
      </c>
      <c r="E14" s="47" t="s">
        <v>25</v>
      </c>
      <c r="F14" s="46" t="s">
        <v>145</v>
      </c>
      <c r="G14" s="46"/>
      <c r="H14" s="17" t="s">
        <v>89</v>
      </c>
      <c r="I14" s="11"/>
    </row>
    <row r="15" spans="2:9" ht="27.75" customHeight="1" x14ac:dyDescent="0.3">
      <c r="B15" s="48">
        <v>12</v>
      </c>
      <c r="C15" s="49" t="s">
        <v>146</v>
      </c>
      <c r="D15" s="48" t="s">
        <v>147</v>
      </c>
      <c r="E15" s="50" t="s">
        <v>25</v>
      </c>
      <c r="F15" s="48" t="s">
        <v>145</v>
      </c>
      <c r="G15" s="48"/>
      <c r="H15" s="17" t="s">
        <v>89</v>
      </c>
      <c r="I15" s="49"/>
    </row>
    <row r="16" spans="2:9" ht="27.75" customHeight="1" x14ac:dyDescent="0.3">
      <c r="B16" s="46">
        <v>13</v>
      </c>
      <c r="C16" s="11" t="s">
        <v>148</v>
      </c>
      <c r="D16" s="46" t="s">
        <v>149</v>
      </c>
      <c r="E16" s="47" t="s">
        <v>25</v>
      </c>
      <c r="F16" s="46" t="s">
        <v>145</v>
      </c>
      <c r="G16" s="46"/>
      <c r="H16" s="17" t="s">
        <v>89</v>
      </c>
      <c r="I16" s="11"/>
    </row>
    <row r="17" spans="2:9" ht="27.75" customHeight="1" x14ac:dyDescent="0.3">
      <c r="B17" s="48">
        <v>14</v>
      </c>
      <c r="C17" s="49" t="s">
        <v>150</v>
      </c>
      <c r="D17" s="48" t="s">
        <v>151</v>
      </c>
      <c r="E17" s="50" t="s">
        <v>25</v>
      </c>
      <c r="F17" s="48" t="s">
        <v>145</v>
      </c>
      <c r="G17" s="48"/>
      <c r="H17" s="17" t="s">
        <v>89</v>
      </c>
      <c r="I17" s="49"/>
    </row>
    <row r="18" spans="2:9" ht="27.75" customHeight="1" x14ac:dyDescent="0.3">
      <c r="B18" s="46">
        <v>15</v>
      </c>
      <c r="C18" s="11" t="s">
        <v>152</v>
      </c>
      <c r="D18" s="46" t="s">
        <v>153</v>
      </c>
      <c r="E18" s="47" t="s">
        <v>25</v>
      </c>
      <c r="F18" s="46" t="s">
        <v>145</v>
      </c>
      <c r="G18" s="46"/>
      <c r="H18" s="17" t="s">
        <v>89</v>
      </c>
      <c r="I18" s="11"/>
    </row>
    <row r="19" spans="2:9" ht="60" customHeight="1" x14ac:dyDescent="0.3">
      <c r="B19" s="48">
        <v>16</v>
      </c>
      <c r="C19" s="49" t="s">
        <v>154</v>
      </c>
      <c r="D19" s="48" t="s">
        <v>155</v>
      </c>
      <c r="E19" s="51" t="s">
        <v>29</v>
      </c>
      <c r="F19" s="48" t="s">
        <v>123</v>
      </c>
      <c r="G19" s="48"/>
      <c r="H19" s="17" t="s">
        <v>89</v>
      </c>
      <c r="I19" s="49"/>
    </row>
    <row r="20" spans="2:9" ht="27.75" customHeight="1" x14ac:dyDescent="0.3">
      <c r="B20" s="46">
        <v>17</v>
      </c>
      <c r="C20" s="11" t="s">
        <v>156</v>
      </c>
      <c r="D20" s="46" t="s">
        <v>157</v>
      </c>
      <c r="E20" s="52" t="s">
        <v>29</v>
      </c>
      <c r="F20" s="46" t="s">
        <v>123</v>
      </c>
      <c r="G20" s="46"/>
      <c r="H20" s="17" t="s">
        <v>89</v>
      </c>
      <c r="I20" s="11"/>
    </row>
    <row r="21" spans="2:9" ht="27.75" customHeight="1" x14ac:dyDescent="0.3">
      <c r="B21" s="48">
        <v>18</v>
      </c>
      <c r="C21" s="49" t="s">
        <v>158</v>
      </c>
      <c r="D21" s="48" t="s">
        <v>159</v>
      </c>
      <c r="E21" s="51" t="s">
        <v>29</v>
      </c>
      <c r="F21" s="48" t="s">
        <v>134</v>
      </c>
      <c r="G21" s="48"/>
      <c r="H21" s="17" t="s">
        <v>89</v>
      </c>
      <c r="I21" s="49"/>
    </row>
    <row r="22" spans="2:9" ht="48" customHeight="1" x14ac:dyDescent="0.3">
      <c r="B22" s="53">
        <v>19</v>
      </c>
      <c r="C22" s="32" t="s">
        <v>160</v>
      </c>
      <c r="D22" s="53" t="s">
        <v>161</v>
      </c>
      <c r="E22" s="54" t="s">
        <v>25</v>
      </c>
      <c r="F22" s="53" t="s">
        <v>145</v>
      </c>
      <c r="G22" s="53"/>
      <c r="H22" s="17" t="s">
        <v>89</v>
      </c>
      <c r="I22" s="32"/>
    </row>
    <row r="23" spans="2:9" ht="55.5" customHeight="1" x14ac:dyDescent="0.3">
      <c r="B23" s="48">
        <v>20</v>
      </c>
      <c r="C23" s="49" t="s">
        <v>162</v>
      </c>
      <c r="D23" s="48" t="s">
        <v>163</v>
      </c>
      <c r="E23" s="51" t="s">
        <v>29</v>
      </c>
      <c r="F23" s="48" t="s">
        <v>134</v>
      </c>
      <c r="G23" s="48"/>
      <c r="H23" s="17" t="s">
        <v>89</v>
      </c>
      <c r="I23" s="49"/>
    </row>
    <row r="24" spans="2:9" ht="57" customHeight="1" x14ac:dyDescent="0.3">
      <c r="B24" s="53">
        <v>21</v>
      </c>
      <c r="C24" s="32" t="s">
        <v>164</v>
      </c>
      <c r="D24" s="53" t="s">
        <v>165</v>
      </c>
      <c r="E24" s="54" t="s">
        <v>25</v>
      </c>
      <c r="F24" s="53" t="s">
        <v>145</v>
      </c>
      <c r="G24" s="53"/>
      <c r="H24" s="17" t="s">
        <v>89</v>
      </c>
      <c r="I24" s="32"/>
    </row>
    <row r="25" spans="2:9" ht="57" customHeight="1" x14ac:dyDescent="0.3">
      <c r="B25" s="55">
        <v>22</v>
      </c>
      <c r="C25" s="56" t="s">
        <v>166</v>
      </c>
      <c r="D25" s="55" t="s">
        <v>167</v>
      </c>
      <c r="E25" s="55" t="s">
        <v>25</v>
      </c>
      <c r="F25" s="55" t="s">
        <v>168</v>
      </c>
      <c r="G25" s="55"/>
      <c r="H25" s="57" t="s">
        <v>89</v>
      </c>
      <c r="I25" s="56" t="s">
        <v>169</v>
      </c>
    </row>
    <row r="26" spans="2:9" ht="52.5" customHeight="1" x14ac:dyDescent="0.3">
      <c r="B26" s="55">
        <v>23</v>
      </c>
      <c r="C26" s="56" t="s">
        <v>170</v>
      </c>
      <c r="D26" s="55" t="s">
        <v>171</v>
      </c>
      <c r="E26" s="55" t="s">
        <v>25</v>
      </c>
      <c r="F26" s="55" t="s">
        <v>168</v>
      </c>
      <c r="G26" s="55"/>
      <c r="H26" s="57" t="s">
        <v>89</v>
      </c>
      <c r="I26" s="56" t="s">
        <v>168</v>
      </c>
    </row>
    <row r="27" spans="2:9" ht="13.5" customHeight="1" x14ac:dyDescent="0.3"/>
    <row r="28" spans="2:9" ht="13.5" customHeight="1" x14ac:dyDescent="0.3"/>
    <row r="29" spans="2:9" ht="13.5" customHeight="1" x14ac:dyDescent="0.3"/>
    <row r="30" spans="2:9" ht="13.5" customHeight="1" x14ac:dyDescent="0.3"/>
    <row r="31" spans="2:9" ht="13.5" customHeight="1" x14ac:dyDescent="0.3"/>
    <row r="32" spans="2:9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2026-06-06T11:58:35Z</dcterms:modified>
</cp:coreProperties>
</file>