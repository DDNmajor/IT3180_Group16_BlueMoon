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lueMoon\docs\Nhóm 16\01 - Tai lieu du an\2. Ke hoach du an phan mem\"/>
    </mc:Choice>
  </mc:AlternateContent>
  <xr:revisionPtr revIDLastSave="0" documentId="13_ncr:1_{3B523619-2CBE-47BC-B5E9-56573744A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ế hoạch dự án" sheetId="1" r:id="rId1"/>
    <sheet name="Product Back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H87Orw0lFlMWQj+P9crvPaeC7GrCUEC2kMvjzt4Xh4="/>
    </ext>
  </extLst>
</workbook>
</file>

<file path=xl/calcChain.xml><?xml version="1.0" encoding="utf-8"?>
<calcChain xmlns="http://schemas.openxmlformats.org/spreadsheetml/2006/main">
  <c r="I42" i="1" l="1"/>
  <c r="I41" i="1"/>
  <c r="I40" i="1"/>
  <c r="I39" i="1"/>
  <c r="I38" i="1"/>
  <c r="I37" i="1"/>
  <c r="I36" i="1"/>
  <c r="I35" i="1"/>
  <c r="I34" i="1"/>
  <c r="I33" i="1"/>
  <c r="I30" i="1"/>
  <c r="I29" i="1"/>
  <c r="I28" i="1"/>
  <c r="I27" i="1"/>
  <c r="I26" i="1"/>
  <c r="I25" i="1"/>
  <c r="I24" i="1"/>
  <c r="I23" i="1"/>
  <c r="I22" i="1"/>
  <c r="I19" i="1"/>
  <c r="I18" i="1"/>
  <c r="I17" i="1"/>
  <c r="I16" i="1"/>
  <c r="I15" i="1"/>
  <c r="I14" i="1"/>
  <c r="I13" i="1"/>
  <c r="I10" i="1"/>
  <c r="I9" i="1"/>
  <c r="I8" i="1"/>
  <c r="I7" i="1"/>
</calcChain>
</file>

<file path=xl/sharedStrings.xml><?xml version="1.0" encoding="utf-8"?>
<sst xmlns="http://schemas.openxmlformats.org/spreadsheetml/2006/main" count="319" uniqueCount="159">
  <si>
    <t>KẾ HOẠCH DỰ ÁN THEO AGILE/SCRUM</t>
  </si>
  <si>
    <t>TÊN DỰ ÁN: Blue Moon</t>
  </si>
  <si>
    <t>SCRUM MASTER: Trần Khánh Linh</t>
  </si>
  <si>
    <t>NGÀY BẮT ĐẦU</t>
  </si>
  <si>
    <t>NGÀY KẾT THÚC</t>
  </si>
  <si>
    <t>TIẾN ĐỘ TỔNG</t>
  </si>
  <si>
    <t>SẢN PHẨM BÀN GIAO / PHẠM VI DỰ ÁN</t>
  </si>
  <si>
    <t>Phần mềm quản lý thu phí chung cư BlueMoon</t>
  </si>
  <si>
    <t>0%</t>
  </si>
  <si>
    <t>⚠ RỦI RO</t>
  </si>
  <si>
    <t>TÊN CÔNG VIỆC / USER STORY</t>
  </si>
  <si>
    <t>LOẠI (FR/NFR)</t>
  </si>
  <si>
    <t>NGƯỜI PHỤ TRÁCH</t>
  </si>
  <si>
    <t>STORY POINTS</t>
  </si>
  <si>
    <t>BẮT ĐẦU</t>
  </si>
  <si>
    <t>KẾT THÚC</t>
  </si>
  <si>
    <t>SỐ NGÀY</t>
  </si>
  <si>
    <t>TRẠNG THÁI</t>
  </si>
  <si>
    <t>GHI CHÚ / MÔ TẢ</t>
  </si>
  <si>
    <t>Sprint 0 — Khởi động &amp; Lập kế hoạch</t>
  </si>
  <si>
    <t>Scrum Master</t>
  </si>
  <si>
    <t>In Progress</t>
  </si>
  <si>
    <t>Họp kick-off, lập Product Backlog, xác định DoD, thiết lập repo GitHub, phân công vai trò.</t>
  </si>
  <si>
    <t xml:space="preserve">    Xây dựng Product Backlog ban đầu</t>
  </si>
  <si>
    <t>FR</t>
  </si>
  <si>
    <t>Product Owner</t>
  </si>
  <si>
    <t>Complete</t>
  </si>
  <si>
    <t>Liệt kê và ưu tiên hóa toàn bộ User Story từ Raw Log.</t>
  </si>
  <si>
    <t xml:space="preserve">    Thiết lập môi trường phát triển</t>
  </si>
  <si>
    <t>NFR</t>
  </si>
  <si>
    <t>Dev Team</t>
  </si>
  <si>
    <t xml:space="preserve">    Tạo repository GitHub &amp; cấu trúc thư mục</t>
  </si>
  <si>
    <t>Tạo repo, thêm thành viên, quy định branching strategy.</t>
  </si>
  <si>
    <t xml:space="preserve">    Họp Sprint Planning Sprint 1</t>
  </si>
  <si>
    <t>–</t>
  </si>
  <si>
    <t>Cả nhóm</t>
  </si>
  <si>
    <t>Not Started</t>
  </si>
  <si>
    <t>Chọn User Story cho Sprint 1, ước lượng Story Points.</t>
  </si>
  <si>
    <t>Sprint 1 — Đăng nhập &amp; Quản lý khoản thu</t>
  </si>
  <si>
    <t>Xây dựng chức năng đăng nhập (RL-001, RL-002) và tạo/sửa/xóa khoản thu (RL-004, RL-005, RL-006).</t>
  </si>
  <si>
    <t xml:space="preserve">    Thiết kế CSDL: bảng users, khoan_thu</t>
  </si>
  <si>
    <t>Tạo schema MySQL theo thiết kế ER. Liên kết RL-001, RL-004.</t>
  </si>
  <si>
    <t xml:space="preserve">    Cài đặt chức năng Đăng nhập</t>
  </si>
  <si>
    <t>LoginController, màn hình login, xác thực tài khoản. Liên kết RL-001, RL-021.</t>
  </si>
  <si>
    <t xml:space="preserve">    Cài đặt Phân quyền (trưởng ban / kế toán)</t>
  </si>
  <si>
    <t>Phân quyền 2 vai trò theo đặc tả. Liên kết RL-002, RL-022.</t>
  </si>
  <si>
    <t xml:space="preserve">    Cài đặt Tạo khoản thu mới</t>
  </si>
  <si>
    <t>Form tạo khoản thu, validate input. Liên kết RL-004.</t>
  </si>
  <si>
    <t xml:space="preserve">    Cài đặt Sửa / Xóa khoản thu</t>
  </si>
  <si>
    <t>CRUD khoản thu. Liên kết RL-005.</t>
  </si>
  <si>
    <t xml:space="preserve">    Viết test case kiểm thử chức năng đăng nhập</t>
  </si>
  <si>
    <t>Kiểm thử hộp trắng + hộp đen theo Chương 9 bộ bài tập.</t>
  </si>
  <si>
    <t xml:space="preserve">    Sprint Review &amp; Retrospective Sprint 1</t>
  </si>
  <si>
    <t>Demo sản phẩm, đánh giá tiến độ, cập nhật Backlog.</t>
  </si>
  <si>
    <t>Sprint 2 — Thu phí &amp; Quản lý hộ khẩu/nhân khẩu</t>
  </si>
  <si>
    <t>Ghi nhận thanh toán (RL-007, RL-008, RL-009), quản lý hộ khẩu/nhân khẩu (RL-013, RL-014, RL-015).</t>
  </si>
  <si>
    <t xml:space="preserve">    Thiết kế CSDL: bảng ho_khau, nhan_khau, nop_tien</t>
  </si>
  <si>
    <t>Tạo các bảng liên kết theo ER diagram. Liên kết RL-013, RL-014.</t>
  </si>
  <si>
    <t xml:space="preserve">    Cài đặt Ghi nhận thanh toán (Thu phí)</t>
  </si>
  <si>
    <t>AddNopTien controller, validate. Liên kết RL-007.</t>
  </si>
  <si>
    <t xml:space="preserve">    Cài đặt Tìm kiếm &amp; Lọc hộ gia đình</t>
  </si>
  <si>
    <t>Tìm theo mã căn hộ, tên chủ hộ, trạng thái. Liên kết RL-008.</t>
  </si>
  <si>
    <t>Cài đặt Audit Log (nhật ký thao tác)</t>
  </si>
  <si>
    <t>Tạo bảng audit_log, ghi nhận CRUD. Liên kết RL-023, NFR-003.</t>
  </si>
  <si>
    <t xml:space="preserve">    Cài đặt Trạng thái thu phí theo căn hộ</t>
  </si>
  <si>
    <t>Hiển thị đã nộp / chưa nộp / nợ. Liên kết RL-009.</t>
  </si>
  <si>
    <t xml:space="preserve">    Cài đặt Quản lý hộ khẩu (CRUD)</t>
  </si>
  <si>
    <t>Thêm/sửa/xóa hộ gia đình. Liên kết RL-013.</t>
  </si>
  <si>
    <t xml:space="preserve">    Cài đặt Quản lý nhân khẩu &amp; biến động</t>
  </si>
  <si>
    <t>Thêm/sửa/xóa nhân khẩu, đăng ký tạm trú/tạm vắng. Liên kết RL-014.</t>
  </si>
  <si>
    <t xml:space="preserve">    Viết test case kiểm thử chức năng thu phí</t>
  </si>
  <si>
    <t>Hộp trắng + hộp đen. Liên kết RL-024.</t>
  </si>
  <si>
    <t xml:space="preserve">    Sprint Review &amp; Retrospective Sprint 2</t>
  </si>
  <si>
    <t>Demo, đánh giá tiến độ, cập nhật Backlog.</t>
  </si>
  <si>
    <t>Sprint 3 — Thống kê, Báo cáo &amp; Hoàn thiện</t>
  </si>
  <si>
    <t>Thống kê (RL-011), xuất báo cáo (RL-012), tra cứu nợ (RL-010), đổi mật khẩu (RL-003), refactor &amp; kiểm thử tổng thể.</t>
  </si>
  <si>
    <t xml:space="preserve">    Cài đặt Thống kê các khoản đóng góp</t>
  </si>
  <si>
    <t>Tổng tiền/đợt, số hộ nộp, chi tiết từng hộ. Liên kết RL-011.</t>
  </si>
  <si>
    <t xml:space="preserve">    Cài đặt Tra cứu nợ phí</t>
  </si>
  <si>
    <t>Danh sách hộ nợ, số tiền, lần nộp cuối. Liên kết RL-010.</t>
  </si>
  <si>
    <t xml:space="preserve">    Cài đặt Quản lý phí gửi xe</t>
  </si>
  <si>
    <t>Tạo loại khoản thu xe máy/ô tô, tính tự động. Liên kết RL-019, RL-014.</t>
  </si>
  <si>
    <t xml:space="preserve">    Cài đặt Import dữ liệu từ Excel</t>
  </si>
  <si>
    <t xml:space="preserve">Dùng Apache POI, validate dữ liệu trước khi lưu DB. Liên kết RL-018. </t>
  </si>
  <si>
    <t xml:space="preserve">    Cài đặt Xuất báo cáo (Excel/PDF)</t>
  </si>
  <si>
    <t>Export báo cáo tổng thể. Liên kết RL-012.</t>
  </si>
  <si>
    <t xml:space="preserve">    Cài đặt Đổi mật khẩu</t>
  </si>
  <si>
    <t>Chức năng đổi mật khẩu người dùng. Liên kết RL-003.</t>
  </si>
  <si>
    <t xml:space="preserve">    Refactor mã nguồn &amp; áp dụng Coding Convention</t>
  </si>
  <si>
    <t>Tuân thủ Java Coding Convention, Javadocs. Liên kết RL-027</t>
  </si>
  <si>
    <t xml:space="preserve">    Kiểm thử tích hợp toàn bộ luồng nghiệp vụ</t>
  </si>
  <si>
    <t>4 luồng: đăng nhập, tạo khoản thu, thu phí, thống kê.</t>
  </si>
  <si>
    <t xml:space="preserve">    Hoàn thiện tài liệu dự án</t>
  </si>
  <si>
    <t>SRS, thiết kế, test report, hướng dẫn cài đặt.</t>
  </si>
  <si>
    <t xml:space="preserve">    Sprint Review &amp; Demo cuối — bàn giao v1.0</t>
  </si>
  <si>
    <t>Demo toàn bộ sản phẩm, chốt bàn giao v1.0.</t>
  </si>
  <si>
    <t>CHÚ GIẢI TRẠNG THÁI</t>
  </si>
  <si>
    <t>Overdue</t>
  </si>
  <si>
    <t>Blocked</t>
  </si>
  <si>
    <t>PRODUCT BACKLOG — BlueMoon Fee Management System</t>
  </si>
  <si>
    <t>Scrum Master: Trần Khánh Linh  |  Product Owner: Lê Quang Huy  |  Cập nhật lần cuối: 31/03/2026</t>
  </si>
  <si>
    <t>ƯU TIÊN</t>
  </si>
  <si>
    <t>MÃ RL</t>
  </si>
  <si>
    <t>USER STORY</t>
  </si>
  <si>
    <t>SPRINT DỰ KIẾN</t>
  </si>
  <si>
    <t>GHI CHÚ</t>
  </si>
  <si>
    <t>RL-001</t>
  </si>
  <si>
    <t>Là trưởng ban, tôi muốn đăng nhập bằng tài khoản/mật khẩu.</t>
  </si>
  <si>
    <t>Sprint 1</t>
  </si>
  <si>
    <t>RL-002</t>
  </si>
  <si>
    <t>Là trưởng ban, tôi muốn phân quyền kế toán / trưởng ban rõ ràng.</t>
  </si>
  <si>
    <t>RL-004</t>
  </si>
  <si>
    <t>Là kế toán, tôi muốn tạo khoản thu mới (bắt buộc/tự nguyện).</t>
  </si>
  <si>
    <t>RL-005</t>
  </si>
  <si>
    <t>Là kế toán, tôi muốn sửa/xóa khoản thu khi phát hiện sai sót.</t>
  </si>
  <si>
    <t>RL-006</t>
  </si>
  <si>
    <t>Là kế toán, tôi muốn xem danh sách khoản thu, lọc theo loại/trạng thái.</t>
  </si>
  <si>
    <t>RL-007</t>
  </si>
  <si>
    <t>Là kế toán, tôi muốn ghi nhận thanh toán của từng hộ theo mã căn hộ.</t>
  </si>
  <si>
    <t>Sprint 2</t>
  </si>
  <si>
    <t>RL-008</t>
  </si>
  <si>
    <t>Là kế toán, tôi muốn tìm nhanh hộ gia đình và lọc theo trạng thái đóng phí.</t>
  </si>
  <si>
    <t>RL-009</t>
  </si>
  <si>
    <t>Là trưởng ban, tôi muốn theo dõi trạng thái thu phí từng căn hộ.</t>
  </si>
  <si>
    <t>RL-013</t>
  </si>
  <si>
    <t>Là trưởng ban, tôi muốn thêm/sửa/xóa thông tin hộ gia đình.</t>
  </si>
  <si>
    <t>RL-014</t>
  </si>
  <si>
    <t>Là trưởng ban, tôi muốn quản lý nhân khẩu và ghi nhận biến động.</t>
  </si>
  <si>
    <t>RL-010</t>
  </si>
  <si>
    <t>Là trưởng ban, tôi muốn biết cư dân nào còn nợ phí.</t>
  </si>
  <si>
    <t>Sprint 3</t>
  </si>
  <si>
    <t>RL-011</t>
  </si>
  <si>
    <t>Là trưởng ban, tôi muốn thống kê tổng tiền thu mỗi đợt.</t>
  </si>
  <si>
    <t>RL-012</t>
  </si>
  <si>
    <t>Là trưởng ban, tôi muốn xuất báo cáo ra Excel/PDF.</t>
  </si>
  <si>
    <t>RL-003</t>
  </si>
  <si>
    <t>Là trưởng ban, tôi muốn đổi mật khẩu đăng nhập.</t>
  </si>
  <si>
    <t>RL-015</t>
  </si>
  <si>
    <t>Là trưởng ban, tôi muốn tra cứu chi tiết hộ khẩu/nhân khẩu.</t>
  </si>
  <si>
    <t>RL-021</t>
  </si>
  <si>
    <t>Hệ thống phải xác thực người dùng trước khi cho phép truy cập.</t>
  </si>
  <si>
    <t>RL-022</t>
  </si>
  <si>
    <t>Hệ thống phải hỗ trợ phân quyền ít nhất 2 vai trò.</t>
  </si>
  <si>
    <t>RL-024</t>
  </si>
  <si>
    <t>Thời gian phản hồi mỗi thao tác &lt; 3 giây.</t>
  </si>
  <si>
    <t>RL-019</t>
  </si>
  <si>
    <t>Là trưởng ban, tôi muốn quản lý phí gửi xe (xe máy/ô tô).</t>
  </si>
  <si>
    <t>RL-023</t>
  </si>
  <si>
    <t>Hệ thống phải ghi nhật ký mọi thao tác (ai, làm gì, lúc nào).</t>
  </si>
  <si>
    <t>RL-018</t>
  </si>
  <si>
    <t>Là kế toán, tôi muốn import file Excel để cập nhật dữ liệu hàng loạt.</t>
  </si>
  <si>
    <t>RL-016</t>
  </si>
  <si>
    <t>Là trưởng ban, tôi muốn hệ thống nhắc cư dân đóng phí.</t>
  </si>
  <si>
    <t>v2.0</t>
  </si>
  <si>
    <t>Có thể để v2.0</t>
  </si>
  <si>
    <t>RL-020</t>
  </si>
  <si>
    <t>Là trưởng ban, tôi muốn thu hộ điện/nước/internet.</t>
  </si>
  <si>
    <t>Cài đặt JDK 17+, MySQL 8+, IntelliJ IDEA, Git và Maven để phục vụ phát triển hệ thống Spring Boot.</t>
  </si>
  <si>
    <t>v1.0: Quản lý thu phí, quản lý hộ khẩu/nhân khẩu, đăng nhập phân quyền.
v2.0: Phí gửi xe, thu hộ điện/nước/internet.
Nền tảng: Spring Boot + Thymeleaf + MySQL. 
Nhóm Scrum gồm Scrum Master (SM), Product Owner (PO) và Development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</si>
</sst>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b/>
      <sz val="22"/>
      <color rgb="FF7F7F7F"/>
      <name val="Calibri"/>
    </font>
    <font>
      <sz val="11"/>
      <name val="Calibri"/>
    </font>
    <font>
      <b/>
      <sz val="9"/>
      <color rgb="FF595959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FFFFFF"/>
      <name val="Calibri"/>
    </font>
    <font>
      <sz val="11"/>
      <color theme="1"/>
      <name val="Arial"/>
    </font>
    <font>
      <sz val="10"/>
      <color rgb="FF595959"/>
      <name val="Calibri"/>
    </font>
    <font>
      <i/>
      <sz val="10"/>
      <color rgb="FF595959"/>
      <name val="Calibri"/>
    </font>
    <font>
      <b/>
      <sz val="10"/>
      <color rgb="FF1A5276"/>
      <name val="Calibri"/>
    </font>
    <font>
      <sz val="10"/>
      <color rgb="FF404040"/>
      <name val="Calibri"/>
    </font>
    <font>
      <b/>
      <sz val="10"/>
      <color rgb="FF7D6608"/>
      <name val="Calibri"/>
    </font>
    <font>
      <b/>
      <sz val="10"/>
      <color rgb="FF595959"/>
      <name val="Calibri"/>
    </font>
    <font>
      <b/>
      <sz val="10"/>
      <color rgb="FF000000"/>
      <name val="Calibri"/>
    </font>
    <font>
      <b/>
      <sz val="16"/>
      <color rgb="FF7F7F7F"/>
      <name val="Calibri"/>
    </font>
    <font>
      <b/>
      <sz val="10"/>
      <color rgb="FF1F497D"/>
      <name val="Calibri"/>
    </font>
    <font>
      <i/>
      <sz val="10"/>
      <color rgb="FFA0A0A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404040"/>
        <bgColor rgb="FF404040"/>
      </patternFill>
    </fill>
    <fill>
      <patternFill patternType="solid">
        <fgColor rgb="FFE7E6E6"/>
        <bgColor rgb="FFE7E6E6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E699"/>
        <bgColor rgb="FFFFE69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4B942"/>
        <bgColor rgb="FFF4B942"/>
      </patternFill>
    </fill>
    <fill>
      <patternFill patternType="solid">
        <fgColor rgb="FFF7F7F7"/>
        <bgColor rgb="FFF7F7F7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3" borderId="4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8" fillId="6" borderId="13" xfId="0" applyFont="1" applyFill="1" applyBorder="1"/>
    <xf numFmtId="0" fontId="5" fillId="6" borderId="14" xfId="0" applyFont="1" applyFill="1" applyBorder="1" applyAlignment="1">
      <alignment horizontal="left" vertical="center"/>
    </xf>
    <xf numFmtId="0" fontId="8" fillId="6" borderId="14" xfId="0" applyFont="1" applyFill="1" applyBorder="1"/>
    <xf numFmtId="0" fontId="9" fillId="6" borderId="14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left" vertical="center" wrapText="1"/>
    </xf>
    <xf numFmtId="0" fontId="11" fillId="2" borderId="16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center" vertical="center"/>
    </xf>
    <xf numFmtId="14" fontId="6" fillId="2" borderId="16" xfId="0" applyNumberFormat="1" applyFont="1" applyFill="1" applyBorder="1" applyAlignment="1">
      <alignment horizontal="center" vertical="center"/>
    </xf>
    <xf numFmtId="1" fontId="6" fillId="2" borderId="16" xfId="0" applyNumberFormat="1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left" vertical="center" wrapText="1"/>
    </xf>
    <xf numFmtId="0" fontId="8" fillId="8" borderId="16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left" vertical="center" wrapText="1"/>
    </xf>
    <xf numFmtId="0" fontId="13" fillId="8" borderId="16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left" vertical="center"/>
    </xf>
    <xf numFmtId="0" fontId="6" fillId="8" borderId="16" xfId="0" applyFont="1" applyFill="1" applyBorder="1" applyAlignment="1">
      <alignment horizontal="center" vertical="center"/>
    </xf>
    <xf numFmtId="14" fontId="6" fillId="8" borderId="16" xfId="0" applyNumberFormat="1" applyFont="1" applyFill="1" applyBorder="1" applyAlignment="1">
      <alignment horizontal="center" vertical="center"/>
    </xf>
    <xf numFmtId="1" fontId="6" fillId="8" borderId="16" xfId="0" applyNumberFormat="1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left" vertical="center" wrapText="1"/>
    </xf>
    <xf numFmtId="0" fontId="13" fillId="2" borderId="16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left" vertical="center" wrapText="1"/>
    </xf>
    <xf numFmtId="0" fontId="11" fillId="9" borderId="16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left" vertical="center"/>
    </xf>
    <xf numFmtId="0" fontId="6" fillId="9" borderId="16" xfId="0" applyFont="1" applyFill="1" applyBorder="1" applyAlignment="1">
      <alignment horizontal="center" vertical="center"/>
    </xf>
    <xf numFmtId="14" fontId="6" fillId="9" borderId="16" xfId="0" applyNumberFormat="1" applyFont="1" applyFill="1" applyBorder="1" applyAlignment="1">
      <alignment horizontal="center" vertical="center"/>
    </xf>
    <xf numFmtId="1" fontId="6" fillId="9" borderId="16" xfId="0" applyNumberFormat="1" applyFont="1" applyFill="1" applyBorder="1" applyAlignment="1">
      <alignment horizontal="center" vertical="center"/>
    </xf>
    <xf numFmtId="0" fontId="12" fillId="9" borderId="16" xfId="0" applyFont="1" applyFill="1" applyBorder="1" applyAlignment="1">
      <alignment horizontal="left" vertical="center" wrapText="1"/>
    </xf>
    <xf numFmtId="0" fontId="14" fillId="9" borderId="16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6" fillId="7" borderId="16" xfId="0" applyFont="1" applyFill="1" applyBorder="1" applyAlignment="1">
      <alignment horizontal="left" vertical="center"/>
    </xf>
    <xf numFmtId="0" fontId="6" fillId="10" borderId="16" xfId="0" applyFont="1" applyFill="1" applyBorder="1" applyAlignment="1">
      <alignment horizontal="left" vertical="center"/>
    </xf>
    <xf numFmtId="0" fontId="6" fillId="11" borderId="16" xfId="0" applyFont="1" applyFill="1" applyBorder="1" applyAlignment="1">
      <alignment horizontal="left" vertical="center"/>
    </xf>
    <xf numFmtId="0" fontId="6" fillId="12" borderId="16" xfId="0" applyFont="1" applyFill="1" applyBorder="1" applyAlignment="1">
      <alignment horizontal="left" vertical="center"/>
    </xf>
    <xf numFmtId="0" fontId="6" fillId="13" borderId="16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6" fillId="14" borderId="16" xfId="0" applyFont="1" applyFill="1" applyBorder="1" applyAlignment="1">
      <alignment horizontal="center" vertical="center" wrapText="1"/>
    </xf>
    <xf numFmtId="0" fontId="6" fillId="14" borderId="16" xfId="0" applyFont="1" applyFill="1" applyBorder="1" applyAlignment="1">
      <alignment horizontal="left" vertical="center" wrapText="1"/>
    </xf>
    <xf numFmtId="0" fontId="11" fillId="14" borderId="16" xfId="0" applyFont="1" applyFill="1" applyBorder="1" applyAlignment="1">
      <alignment horizontal="center" vertical="center" wrapText="1"/>
    </xf>
    <xf numFmtId="0" fontId="13" fillId="14" borderId="16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17" fillId="9" borderId="16" xfId="0" applyFont="1" applyFill="1" applyBorder="1" applyAlignment="1">
      <alignment horizontal="center" vertical="center" wrapText="1"/>
    </xf>
    <xf numFmtId="0" fontId="18" fillId="8" borderId="16" xfId="0" applyFont="1" applyFill="1" applyBorder="1" applyAlignment="1">
      <alignment horizontal="center" vertical="center" wrapText="1"/>
    </xf>
    <xf numFmtId="0" fontId="18" fillId="8" borderId="16" xfId="0" applyFont="1" applyFill="1" applyBorder="1" applyAlignment="1">
      <alignment horizontal="left" vertical="center" wrapText="1"/>
    </xf>
    <xf numFmtId="0" fontId="18" fillId="8" borderId="1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left" vertical="center"/>
    </xf>
    <xf numFmtId="0" fontId="2" fillId="0" borderId="6" xfId="0" applyFont="1" applyBorder="1"/>
    <xf numFmtId="0" fontId="4" fillId="2" borderId="7" xfId="0" applyFont="1" applyFill="1" applyBorder="1" applyAlignment="1">
      <alignment horizontal="left" vertical="center"/>
    </xf>
    <xf numFmtId="0" fontId="2" fillId="0" borderId="8" xfId="0" applyFont="1" applyBorder="1"/>
    <xf numFmtId="0" fontId="2" fillId="0" borderId="9" xfId="0" applyFont="1" applyBorder="1"/>
    <xf numFmtId="0" fontId="6" fillId="4" borderId="1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tabSelected="1" topLeftCell="A12" workbookViewId="0">
      <selection activeCell="H30" sqref="H30"/>
    </sheetView>
  </sheetViews>
  <sheetFormatPr defaultColWidth="14.44140625" defaultRowHeight="15" customHeight="1" x14ac:dyDescent="0.3"/>
  <cols>
    <col min="1" max="1" width="3.44140625" customWidth="1"/>
    <col min="2" max="2" width="7.44140625" customWidth="1"/>
    <col min="3" max="3" width="26" customWidth="1"/>
    <col min="4" max="4" width="21.6640625" customWidth="1"/>
    <col min="5" max="5" width="17" customWidth="1"/>
    <col min="6" max="6" width="10" customWidth="1"/>
    <col min="7" max="8" width="11" customWidth="1"/>
    <col min="9" max="9" width="13" customWidth="1"/>
    <col min="10" max="10" width="15" customWidth="1"/>
    <col min="11" max="11" width="52" customWidth="1"/>
    <col min="12" max="26" width="8.6640625" customWidth="1"/>
  </cols>
  <sheetData>
    <row r="1" spans="2:11" ht="45" customHeight="1" x14ac:dyDescent="0.3">
      <c r="B1" s="58" t="s">
        <v>0</v>
      </c>
      <c r="C1" s="59"/>
      <c r="D1" s="59"/>
      <c r="E1" s="59"/>
      <c r="F1" s="59"/>
      <c r="G1" s="59"/>
      <c r="H1" s="59"/>
      <c r="I1" s="59"/>
      <c r="J1" s="59"/>
      <c r="K1" s="60"/>
    </row>
    <row r="2" spans="2:11" ht="34.5" customHeight="1" x14ac:dyDescent="0.3">
      <c r="C2" s="1" t="s">
        <v>1</v>
      </c>
      <c r="D2" s="1" t="s">
        <v>2</v>
      </c>
      <c r="E2" s="1" t="s">
        <v>3</v>
      </c>
      <c r="F2" s="1" t="s">
        <v>4</v>
      </c>
      <c r="H2" s="1" t="s">
        <v>5</v>
      </c>
      <c r="J2" s="61" t="s">
        <v>6</v>
      </c>
      <c r="K2" s="62"/>
    </row>
    <row r="3" spans="2:11" ht="52.5" customHeight="1" x14ac:dyDescent="0.3">
      <c r="C3" s="63" t="s">
        <v>7</v>
      </c>
      <c r="D3" s="64"/>
      <c r="E3" s="64"/>
      <c r="F3" s="64"/>
      <c r="G3" s="65"/>
      <c r="H3" s="2" t="s">
        <v>8</v>
      </c>
      <c r="J3" s="66" t="s">
        <v>158</v>
      </c>
      <c r="K3" s="65"/>
    </row>
    <row r="4" spans="2:11" ht="9.75" customHeight="1" x14ac:dyDescent="0.3"/>
    <row r="5" spans="2:11" ht="31.5" customHeight="1" x14ac:dyDescent="0.3"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2:11" ht="30" customHeight="1" x14ac:dyDescent="0.3">
      <c r="B6" s="4"/>
      <c r="C6" s="5" t="s">
        <v>19</v>
      </c>
      <c r="D6" s="6"/>
      <c r="E6" s="7" t="s">
        <v>20</v>
      </c>
      <c r="F6" s="6"/>
      <c r="G6" s="6"/>
      <c r="H6" s="6"/>
      <c r="I6" s="6"/>
      <c r="J6" s="8" t="s">
        <v>26</v>
      </c>
      <c r="K6" s="9" t="s">
        <v>22</v>
      </c>
    </row>
    <row r="7" spans="2:11" ht="30" customHeight="1" x14ac:dyDescent="0.3">
      <c r="B7" s="10"/>
      <c r="C7" s="11" t="s">
        <v>23</v>
      </c>
      <c r="D7" s="12" t="s">
        <v>24</v>
      </c>
      <c r="E7" s="13" t="s">
        <v>25</v>
      </c>
      <c r="F7" s="14"/>
      <c r="G7" s="15"/>
      <c r="H7" s="15"/>
      <c r="I7" s="16" t="str">
        <f t="shared" ref="I7:I10" si="0">IF(AND(G7&lt;&gt;"",H7&lt;&gt;""),H7-G7,"")</f>
        <v/>
      </c>
      <c r="J7" s="17" t="s">
        <v>26</v>
      </c>
      <c r="K7" s="18" t="s">
        <v>27</v>
      </c>
    </row>
    <row r="8" spans="2:11" ht="30" customHeight="1" x14ac:dyDescent="0.3">
      <c r="B8" s="19"/>
      <c r="C8" s="20" t="s">
        <v>28</v>
      </c>
      <c r="D8" s="21" t="s">
        <v>29</v>
      </c>
      <c r="E8" s="22" t="s">
        <v>30</v>
      </c>
      <c r="F8" s="23"/>
      <c r="G8" s="24"/>
      <c r="H8" s="24"/>
      <c r="I8" s="25" t="str">
        <f t="shared" si="0"/>
        <v/>
      </c>
      <c r="J8" s="17" t="s">
        <v>26</v>
      </c>
      <c r="K8" s="26" t="s">
        <v>157</v>
      </c>
    </row>
    <row r="9" spans="2:11" ht="30" customHeight="1" x14ac:dyDescent="0.3">
      <c r="B9" s="10"/>
      <c r="C9" s="11" t="s">
        <v>31</v>
      </c>
      <c r="D9" s="27" t="s">
        <v>29</v>
      </c>
      <c r="E9" s="13" t="s">
        <v>20</v>
      </c>
      <c r="F9" s="14"/>
      <c r="G9" s="15"/>
      <c r="H9" s="15"/>
      <c r="I9" s="16" t="str">
        <f t="shared" si="0"/>
        <v/>
      </c>
      <c r="J9" s="17" t="s">
        <v>26</v>
      </c>
      <c r="K9" s="18" t="s">
        <v>32</v>
      </c>
    </row>
    <row r="10" spans="2:11" ht="30" customHeight="1" x14ac:dyDescent="0.3">
      <c r="B10" s="19"/>
      <c r="C10" s="20" t="s">
        <v>33</v>
      </c>
      <c r="D10" s="28" t="s">
        <v>34</v>
      </c>
      <c r="E10" s="22" t="s">
        <v>35</v>
      </c>
      <c r="F10" s="23"/>
      <c r="G10" s="24"/>
      <c r="H10" s="24"/>
      <c r="I10" s="25" t="str">
        <f t="shared" si="0"/>
        <v/>
      </c>
      <c r="J10" s="17" t="s">
        <v>26</v>
      </c>
      <c r="K10" s="26" t="s">
        <v>37</v>
      </c>
    </row>
    <row r="11" spans="2:11" ht="9.75" customHeight="1" x14ac:dyDescent="0.3"/>
    <row r="12" spans="2:11" ht="30" customHeight="1" x14ac:dyDescent="0.3">
      <c r="B12" s="4"/>
      <c r="C12" s="5" t="s">
        <v>38</v>
      </c>
      <c r="D12" s="6"/>
      <c r="E12" s="7" t="s">
        <v>25</v>
      </c>
      <c r="F12" s="6"/>
      <c r="G12" s="6"/>
      <c r="H12" s="6"/>
      <c r="I12" s="6"/>
      <c r="J12" s="8" t="s">
        <v>26</v>
      </c>
      <c r="K12" s="9" t="s">
        <v>39</v>
      </c>
    </row>
    <row r="13" spans="2:11" ht="30" customHeight="1" x14ac:dyDescent="0.3">
      <c r="B13" s="10"/>
      <c r="C13" s="11" t="s">
        <v>40</v>
      </c>
      <c r="D13" s="12" t="s">
        <v>24</v>
      </c>
      <c r="E13" s="13" t="s">
        <v>30</v>
      </c>
      <c r="F13" s="14"/>
      <c r="G13" s="15"/>
      <c r="H13" s="15"/>
      <c r="I13" s="16" t="str">
        <f t="shared" ref="I13:I19" si="1">IF(AND(G13&lt;&gt;"",H13&lt;&gt;""),H13-G13,"")</f>
        <v/>
      </c>
      <c r="J13" s="17" t="s">
        <v>26</v>
      </c>
      <c r="K13" s="18" t="s">
        <v>41</v>
      </c>
    </row>
    <row r="14" spans="2:11" ht="30" customHeight="1" x14ac:dyDescent="0.3">
      <c r="B14" s="19"/>
      <c r="C14" s="20" t="s">
        <v>42</v>
      </c>
      <c r="D14" s="29" t="s">
        <v>24</v>
      </c>
      <c r="E14" s="22" t="s">
        <v>30</v>
      </c>
      <c r="F14" s="23"/>
      <c r="G14" s="24"/>
      <c r="H14" s="24"/>
      <c r="I14" s="25" t="str">
        <f t="shared" si="1"/>
        <v/>
      </c>
      <c r="J14" s="17" t="s">
        <v>26</v>
      </c>
      <c r="K14" s="26" t="s">
        <v>43</v>
      </c>
    </row>
    <row r="15" spans="2:11" ht="30" customHeight="1" x14ac:dyDescent="0.3">
      <c r="B15" s="10"/>
      <c r="C15" s="11" t="s">
        <v>44</v>
      </c>
      <c r="D15" s="12" t="s">
        <v>24</v>
      </c>
      <c r="E15" s="13" t="s">
        <v>30</v>
      </c>
      <c r="F15" s="14"/>
      <c r="G15" s="15"/>
      <c r="H15" s="15"/>
      <c r="I15" s="16" t="str">
        <f t="shared" si="1"/>
        <v/>
      </c>
      <c r="J15" s="17" t="s">
        <v>26</v>
      </c>
      <c r="K15" s="18" t="s">
        <v>45</v>
      </c>
    </row>
    <row r="16" spans="2:11" ht="30" customHeight="1" x14ac:dyDescent="0.3">
      <c r="B16" s="19"/>
      <c r="C16" s="20" t="s">
        <v>46</v>
      </c>
      <c r="D16" s="29" t="s">
        <v>24</v>
      </c>
      <c r="E16" s="22" t="s">
        <v>30</v>
      </c>
      <c r="F16" s="23"/>
      <c r="G16" s="24"/>
      <c r="H16" s="24"/>
      <c r="I16" s="25" t="str">
        <f t="shared" si="1"/>
        <v/>
      </c>
      <c r="J16" s="17" t="s">
        <v>26</v>
      </c>
      <c r="K16" s="26" t="s">
        <v>47</v>
      </c>
    </row>
    <row r="17" spans="2:11" ht="30" customHeight="1" x14ac:dyDescent="0.3">
      <c r="B17" s="10"/>
      <c r="C17" s="11" t="s">
        <v>48</v>
      </c>
      <c r="D17" s="12" t="s">
        <v>24</v>
      </c>
      <c r="E17" s="13" t="s">
        <v>30</v>
      </c>
      <c r="F17" s="14"/>
      <c r="G17" s="15"/>
      <c r="H17" s="15"/>
      <c r="I17" s="16" t="str">
        <f t="shared" si="1"/>
        <v/>
      </c>
      <c r="J17" s="17" t="s">
        <v>26</v>
      </c>
      <c r="K17" s="18" t="s">
        <v>49</v>
      </c>
    </row>
    <row r="18" spans="2:11" ht="30" customHeight="1" x14ac:dyDescent="0.3">
      <c r="B18" s="19"/>
      <c r="C18" s="20" t="s">
        <v>50</v>
      </c>
      <c r="D18" s="21" t="s">
        <v>29</v>
      </c>
      <c r="E18" s="22" t="s">
        <v>30</v>
      </c>
      <c r="F18" s="23"/>
      <c r="G18" s="24"/>
      <c r="H18" s="24"/>
      <c r="I18" s="25" t="str">
        <f t="shared" si="1"/>
        <v/>
      </c>
      <c r="J18" s="17" t="s">
        <v>26</v>
      </c>
      <c r="K18" s="26" t="s">
        <v>51</v>
      </c>
    </row>
    <row r="19" spans="2:11" ht="30" customHeight="1" x14ac:dyDescent="0.3">
      <c r="B19" s="10"/>
      <c r="C19" s="11" t="s">
        <v>52</v>
      </c>
      <c r="D19" s="30" t="s">
        <v>34</v>
      </c>
      <c r="E19" s="13" t="s">
        <v>35</v>
      </c>
      <c r="F19" s="14"/>
      <c r="G19" s="15"/>
      <c r="H19" s="15"/>
      <c r="I19" s="16" t="str">
        <f t="shared" si="1"/>
        <v/>
      </c>
      <c r="J19" s="17" t="s">
        <v>26</v>
      </c>
      <c r="K19" s="18" t="s">
        <v>53</v>
      </c>
    </row>
    <row r="20" spans="2:11" ht="9.75" customHeight="1" x14ac:dyDescent="0.3"/>
    <row r="21" spans="2:11" ht="30" customHeight="1" x14ac:dyDescent="0.3">
      <c r="B21" s="4"/>
      <c r="C21" s="5" t="s">
        <v>54</v>
      </c>
      <c r="D21" s="6"/>
      <c r="E21" s="7" t="s">
        <v>25</v>
      </c>
      <c r="F21" s="6"/>
      <c r="G21" s="6"/>
      <c r="H21" s="6"/>
      <c r="I21" s="6"/>
      <c r="J21" s="8" t="s">
        <v>26</v>
      </c>
      <c r="K21" s="9" t="s">
        <v>55</v>
      </c>
    </row>
    <row r="22" spans="2:11" ht="30" customHeight="1" x14ac:dyDescent="0.3">
      <c r="B22" s="10"/>
      <c r="C22" s="11" t="s">
        <v>56</v>
      </c>
      <c r="D22" s="12" t="s">
        <v>24</v>
      </c>
      <c r="E22" s="13" t="s">
        <v>30</v>
      </c>
      <c r="F22" s="14"/>
      <c r="G22" s="15"/>
      <c r="H22" s="15"/>
      <c r="I22" s="16" t="str">
        <f t="shared" ref="I22:I30" si="2">IF(AND(G22&lt;&gt;"",H22&lt;&gt;""),H22-G22,"")</f>
        <v/>
      </c>
      <c r="J22" s="17" t="s">
        <v>26</v>
      </c>
      <c r="K22" s="18" t="s">
        <v>57</v>
      </c>
    </row>
    <row r="23" spans="2:11" ht="30" customHeight="1" x14ac:dyDescent="0.3">
      <c r="B23" s="19"/>
      <c r="C23" s="20" t="s">
        <v>58</v>
      </c>
      <c r="D23" s="29" t="s">
        <v>24</v>
      </c>
      <c r="E23" s="22" t="s">
        <v>30</v>
      </c>
      <c r="F23" s="23"/>
      <c r="G23" s="24"/>
      <c r="H23" s="24"/>
      <c r="I23" s="25" t="str">
        <f t="shared" si="2"/>
        <v/>
      </c>
      <c r="J23" s="17" t="s">
        <v>26</v>
      </c>
      <c r="K23" s="26" t="s">
        <v>59</v>
      </c>
    </row>
    <row r="24" spans="2:11" ht="30" customHeight="1" x14ac:dyDescent="0.3">
      <c r="B24" s="10"/>
      <c r="C24" s="11" t="s">
        <v>60</v>
      </c>
      <c r="D24" s="12" t="s">
        <v>24</v>
      </c>
      <c r="E24" s="13" t="s">
        <v>30</v>
      </c>
      <c r="F24" s="14"/>
      <c r="G24" s="15"/>
      <c r="H24" s="15"/>
      <c r="I24" s="16" t="str">
        <f t="shared" si="2"/>
        <v/>
      </c>
      <c r="J24" s="17" t="s">
        <v>26</v>
      </c>
      <c r="K24" s="18" t="s">
        <v>61</v>
      </c>
    </row>
    <row r="25" spans="2:11" ht="30" customHeight="1" x14ac:dyDescent="0.3">
      <c r="B25" s="19"/>
      <c r="C25" s="20" t="s">
        <v>62</v>
      </c>
      <c r="D25" s="21" t="s">
        <v>29</v>
      </c>
      <c r="E25" s="22" t="s">
        <v>30</v>
      </c>
      <c r="F25" s="23"/>
      <c r="G25" s="24"/>
      <c r="H25" s="24"/>
      <c r="I25" s="25" t="str">
        <f t="shared" si="2"/>
        <v/>
      </c>
      <c r="J25" s="17" t="s">
        <v>26</v>
      </c>
      <c r="K25" s="26" t="s">
        <v>63</v>
      </c>
    </row>
    <row r="26" spans="2:11" ht="30" customHeight="1" x14ac:dyDescent="0.3">
      <c r="B26" s="31"/>
      <c r="C26" s="32" t="s">
        <v>64</v>
      </c>
      <c r="D26" s="33" t="s">
        <v>24</v>
      </c>
      <c r="E26" s="34" t="s">
        <v>30</v>
      </c>
      <c r="F26" s="35"/>
      <c r="G26" s="36"/>
      <c r="H26" s="36"/>
      <c r="I26" s="37" t="str">
        <f t="shared" si="2"/>
        <v/>
      </c>
      <c r="J26" s="17" t="s">
        <v>26</v>
      </c>
      <c r="K26" s="38" t="s">
        <v>65</v>
      </c>
    </row>
    <row r="27" spans="2:11" ht="30" customHeight="1" x14ac:dyDescent="0.3">
      <c r="B27" s="19"/>
      <c r="C27" s="20" t="s">
        <v>66</v>
      </c>
      <c r="D27" s="29" t="s">
        <v>24</v>
      </c>
      <c r="E27" s="22" t="s">
        <v>30</v>
      </c>
      <c r="F27" s="23"/>
      <c r="G27" s="24"/>
      <c r="H27" s="24"/>
      <c r="I27" s="25" t="str">
        <f t="shared" si="2"/>
        <v/>
      </c>
      <c r="J27" s="17" t="s">
        <v>26</v>
      </c>
      <c r="K27" s="26" t="s">
        <v>67</v>
      </c>
    </row>
    <row r="28" spans="2:11" ht="30" customHeight="1" x14ac:dyDescent="0.3">
      <c r="B28" s="31"/>
      <c r="C28" s="32" t="s">
        <v>68</v>
      </c>
      <c r="D28" s="33" t="s">
        <v>24</v>
      </c>
      <c r="E28" s="34" t="s">
        <v>30</v>
      </c>
      <c r="F28" s="35"/>
      <c r="G28" s="36"/>
      <c r="H28" s="36"/>
      <c r="I28" s="37" t="str">
        <f t="shared" si="2"/>
        <v/>
      </c>
      <c r="J28" s="17" t="s">
        <v>26</v>
      </c>
      <c r="K28" s="38" t="s">
        <v>69</v>
      </c>
    </row>
    <row r="29" spans="2:11" ht="30" customHeight="1" x14ac:dyDescent="0.3">
      <c r="B29" s="19"/>
      <c r="C29" s="20" t="s">
        <v>70</v>
      </c>
      <c r="D29" s="21" t="s">
        <v>29</v>
      </c>
      <c r="E29" s="22" t="s">
        <v>30</v>
      </c>
      <c r="F29" s="23"/>
      <c r="G29" s="24"/>
      <c r="H29" s="24"/>
      <c r="I29" s="25" t="str">
        <f t="shared" si="2"/>
        <v/>
      </c>
      <c r="J29" s="17" t="s">
        <v>26</v>
      </c>
      <c r="K29" s="26" t="s">
        <v>71</v>
      </c>
    </row>
    <row r="30" spans="2:11" ht="30" customHeight="1" x14ac:dyDescent="0.3">
      <c r="B30" s="31"/>
      <c r="C30" s="32" t="s">
        <v>72</v>
      </c>
      <c r="D30" s="39" t="s">
        <v>34</v>
      </c>
      <c r="E30" s="34" t="s">
        <v>35</v>
      </c>
      <c r="F30" s="35"/>
      <c r="G30" s="36"/>
      <c r="H30" s="36"/>
      <c r="I30" s="37" t="str">
        <f t="shared" si="2"/>
        <v/>
      </c>
      <c r="J30" s="17" t="s">
        <v>26</v>
      </c>
      <c r="K30" s="38" t="s">
        <v>73</v>
      </c>
    </row>
    <row r="31" spans="2:11" ht="9.75" customHeight="1" x14ac:dyDescent="0.3"/>
    <row r="32" spans="2:11" ht="30" customHeight="1" x14ac:dyDescent="0.3">
      <c r="B32" s="4"/>
      <c r="C32" s="5" t="s">
        <v>74</v>
      </c>
      <c r="D32" s="6"/>
      <c r="E32" s="7" t="s">
        <v>25</v>
      </c>
      <c r="F32" s="6"/>
      <c r="G32" s="6"/>
      <c r="H32" s="6"/>
      <c r="I32" s="6"/>
      <c r="J32" s="8" t="s">
        <v>36</v>
      </c>
      <c r="K32" s="9" t="s">
        <v>75</v>
      </c>
    </row>
    <row r="33" spans="2:11" ht="30" customHeight="1" x14ac:dyDescent="0.3">
      <c r="B33" s="10"/>
      <c r="C33" s="11" t="s">
        <v>76</v>
      </c>
      <c r="D33" s="12" t="s">
        <v>24</v>
      </c>
      <c r="E33" s="13" t="s">
        <v>30</v>
      </c>
      <c r="F33" s="14"/>
      <c r="G33" s="15"/>
      <c r="H33" s="15"/>
      <c r="I33" s="16" t="str">
        <f t="shared" ref="I33:I42" si="3">IF(AND(G33&lt;&gt;"",H33&lt;&gt;""),H33-G33,"")</f>
        <v/>
      </c>
      <c r="J33" s="17" t="s">
        <v>36</v>
      </c>
      <c r="K33" s="18" t="s">
        <v>77</v>
      </c>
    </row>
    <row r="34" spans="2:11" ht="30" customHeight="1" x14ac:dyDescent="0.3">
      <c r="B34" s="19"/>
      <c r="C34" s="20" t="s">
        <v>78</v>
      </c>
      <c r="D34" s="29" t="s">
        <v>24</v>
      </c>
      <c r="E34" s="22" t="s">
        <v>30</v>
      </c>
      <c r="F34" s="23"/>
      <c r="G34" s="24"/>
      <c r="H34" s="24"/>
      <c r="I34" s="25" t="str">
        <f t="shared" si="3"/>
        <v/>
      </c>
      <c r="J34" s="17" t="s">
        <v>36</v>
      </c>
      <c r="K34" s="26" t="s">
        <v>79</v>
      </c>
    </row>
    <row r="35" spans="2:11" ht="30" customHeight="1" x14ac:dyDescent="0.3">
      <c r="B35" s="31"/>
      <c r="C35" s="32" t="s">
        <v>80</v>
      </c>
      <c r="D35" s="33" t="s">
        <v>24</v>
      </c>
      <c r="E35" s="34" t="s">
        <v>30</v>
      </c>
      <c r="F35" s="35"/>
      <c r="G35" s="36"/>
      <c r="H35" s="36"/>
      <c r="I35" s="37" t="str">
        <f t="shared" si="3"/>
        <v/>
      </c>
      <c r="J35" s="17" t="s">
        <v>36</v>
      </c>
      <c r="K35" s="38" t="s">
        <v>81</v>
      </c>
    </row>
    <row r="36" spans="2:11" ht="30" customHeight="1" x14ac:dyDescent="0.3">
      <c r="B36" s="19"/>
      <c r="C36" s="20" t="s">
        <v>82</v>
      </c>
      <c r="D36" s="29" t="s">
        <v>24</v>
      </c>
      <c r="E36" s="22" t="s">
        <v>30</v>
      </c>
      <c r="F36" s="23"/>
      <c r="G36" s="24"/>
      <c r="H36" s="24"/>
      <c r="I36" s="25" t="str">
        <f t="shared" si="3"/>
        <v/>
      </c>
      <c r="J36" s="17" t="s">
        <v>36</v>
      </c>
      <c r="K36" s="26" t="s">
        <v>83</v>
      </c>
    </row>
    <row r="37" spans="2:11" ht="30" customHeight="1" x14ac:dyDescent="0.3">
      <c r="B37" s="10"/>
      <c r="C37" s="11" t="s">
        <v>84</v>
      </c>
      <c r="D37" s="12" t="s">
        <v>24</v>
      </c>
      <c r="E37" s="13" t="s">
        <v>30</v>
      </c>
      <c r="F37" s="14"/>
      <c r="G37" s="15"/>
      <c r="H37" s="15"/>
      <c r="I37" s="16" t="str">
        <f t="shared" si="3"/>
        <v/>
      </c>
      <c r="J37" s="17" t="s">
        <v>36</v>
      </c>
      <c r="K37" s="18" t="s">
        <v>85</v>
      </c>
    </row>
    <row r="38" spans="2:11" ht="30" customHeight="1" x14ac:dyDescent="0.3">
      <c r="B38" s="19"/>
      <c r="C38" s="20" t="s">
        <v>86</v>
      </c>
      <c r="D38" s="29" t="s">
        <v>24</v>
      </c>
      <c r="E38" s="22" t="s">
        <v>30</v>
      </c>
      <c r="F38" s="23"/>
      <c r="G38" s="24"/>
      <c r="H38" s="24"/>
      <c r="I38" s="25" t="str">
        <f t="shared" si="3"/>
        <v/>
      </c>
      <c r="J38" s="17" t="s">
        <v>36</v>
      </c>
      <c r="K38" s="26" t="s">
        <v>87</v>
      </c>
    </row>
    <row r="39" spans="2:11" ht="30" customHeight="1" x14ac:dyDescent="0.3">
      <c r="B39" s="10"/>
      <c r="C39" s="11" t="s">
        <v>88</v>
      </c>
      <c r="D39" s="27" t="s">
        <v>29</v>
      </c>
      <c r="E39" s="13" t="s">
        <v>30</v>
      </c>
      <c r="F39" s="14"/>
      <c r="G39" s="15"/>
      <c r="H39" s="15"/>
      <c r="I39" s="16" t="str">
        <f t="shared" si="3"/>
        <v/>
      </c>
      <c r="J39" s="17" t="s">
        <v>36</v>
      </c>
      <c r="K39" s="18" t="s">
        <v>89</v>
      </c>
    </row>
    <row r="40" spans="2:11" ht="30" customHeight="1" x14ac:dyDescent="0.3">
      <c r="B40" s="19"/>
      <c r="C40" s="20" t="s">
        <v>90</v>
      </c>
      <c r="D40" s="21" t="s">
        <v>29</v>
      </c>
      <c r="E40" s="22" t="s">
        <v>30</v>
      </c>
      <c r="F40" s="23"/>
      <c r="G40" s="24"/>
      <c r="H40" s="24"/>
      <c r="I40" s="25" t="str">
        <f t="shared" si="3"/>
        <v/>
      </c>
      <c r="J40" s="17" t="s">
        <v>36</v>
      </c>
      <c r="K40" s="26" t="s">
        <v>91</v>
      </c>
    </row>
    <row r="41" spans="2:11" ht="30" customHeight="1" x14ac:dyDescent="0.3">
      <c r="B41" s="10"/>
      <c r="C41" s="11" t="s">
        <v>92</v>
      </c>
      <c r="D41" s="27" t="s">
        <v>29</v>
      </c>
      <c r="E41" s="13" t="s">
        <v>35</v>
      </c>
      <c r="F41" s="14"/>
      <c r="G41" s="15"/>
      <c r="H41" s="15"/>
      <c r="I41" s="16" t="str">
        <f t="shared" si="3"/>
        <v/>
      </c>
      <c r="J41" s="17" t="s">
        <v>36</v>
      </c>
      <c r="K41" s="18" t="s">
        <v>93</v>
      </c>
    </row>
    <row r="42" spans="2:11" ht="30" customHeight="1" x14ac:dyDescent="0.3">
      <c r="B42" s="19"/>
      <c r="C42" s="20" t="s">
        <v>94</v>
      </c>
      <c r="D42" s="28" t="s">
        <v>34</v>
      </c>
      <c r="E42" s="22" t="s">
        <v>35</v>
      </c>
      <c r="F42" s="23"/>
      <c r="G42" s="24"/>
      <c r="H42" s="24"/>
      <c r="I42" s="25" t="str">
        <f t="shared" si="3"/>
        <v/>
      </c>
      <c r="J42" s="17" t="s">
        <v>36</v>
      </c>
      <c r="K42" s="26" t="s">
        <v>95</v>
      </c>
    </row>
    <row r="43" spans="2:11" ht="9.75" customHeight="1" x14ac:dyDescent="0.3"/>
    <row r="44" spans="2:11" ht="13.5" customHeight="1" x14ac:dyDescent="0.3"/>
    <row r="45" spans="2:11" ht="21.75" customHeight="1" x14ac:dyDescent="0.3">
      <c r="C45" s="40" t="s">
        <v>96</v>
      </c>
    </row>
    <row r="46" spans="2:11" ht="18" customHeight="1" x14ac:dyDescent="0.3">
      <c r="C46" s="41" t="s">
        <v>36</v>
      </c>
    </row>
    <row r="47" spans="2:11" ht="18" customHeight="1" x14ac:dyDescent="0.3">
      <c r="C47" s="42" t="s">
        <v>21</v>
      </c>
    </row>
    <row r="48" spans="2:11" ht="18" customHeight="1" x14ac:dyDescent="0.3">
      <c r="C48" s="43" t="s">
        <v>26</v>
      </c>
    </row>
    <row r="49" spans="3:3" ht="18" customHeight="1" x14ac:dyDescent="0.3">
      <c r="C49" s="44" t="s">
        <v>97</v>
      </c>
    </row>
    <row r="50" spans="3:3" ht="18" customHeight="1" x14ac:dyDescent="0.3">
      <c r="C50" s="45" t="s">
        <v>98</v>
      </c>
    </row>
    <row r="51" spans="3:3" ht="13.5" customHeight="1" x14ac:dyDescent="0.3"/>
    <row r="52" spans="3:3" ht="13.5" customHeight="1" x14ac:dyDescent="0.3"/>
    <row r="53" spans="3:3" ht="13.5" customHeight="1" x14ac:dyDescent="0.3"/>
    <row r="54" spans="3:3" ht="13.5" customHeight="1" x14ac:dyDescent="0.3"/>
    <row r="55" spans="3:3" ht="13.5" customHeight="1" x14ac:dyDescent="0.3"/>
    <row r="56" spans="3:3" ht="13.5" customHeight="1" x14ac:dyDescent="0.3"/>
    <row r="57" spans="3:3" ht="13.5" customHeight="1" x14ac:dyDescent="0.3"/>
    <row r="58" spans="3:3" ht="13.5" customHeight="1" x14ac:dyDescent="0.3"/>
    <row r="59" spans="3:3" ht="13.5" customHeight="1" x14ac:dyDescent="0.3"/>
    <row r="60" spans="3:3" ht="13.5" customHeight="1" x14ac:dyDescent="0.3"/>
    <row r="61" spans="3:3" ht="13.5" customHeight="1" x14ac:dyDescent="0.3"/>
    <row r="62" spans="3:3" ht="13.5" customHeight="1" x14ac:dyDescent="0.3"/>
    <row r="63" spans="3:3" ht="13.5" customHeight="1" x14ac:dyDescent="0.3"/>
    <row r="64" spans="3:3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4">
    <mergeCell ref="B1:K1"/>
    <mergeCell ref="J2:K2"/>
    <mergeCell ref="C3:G3"/>
    <mergeCell ref="J3:K3"/>
  </mergeCells>
  <dataValidations count="1">
    <dataValidation type="list" allowBlank="1" sqref="J7:J10 J13:J19 J22:J30 J33:J42" xr:uid="{00000000-0002-0000-0000-000000000000}">
      <formula1>"Not Started,In Progress,Complete,Overdue,Blocked"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0"/>
  <sheetViews>
    <sheetView topLeftCell="A20" workbookViewId="0">
      <selection activeCell="D15" sqref="D15"/>
    </sheetView>
  </sheetViews>
  <sheetFormatPr defaultColWidth="14.44140625" defaultRowHeight="15" customHeight="1" x14ac:dyDescent="0.3"/>
  <cols>
    <col min="1" max="1" width="3" customWidth="1"/>
    <col min="2" max="2" width="8" customWidth="1"/>
    <col min="3" max="3" width="35" customWidth="1"/>
    <col min="4" max="4" width="15" customWidth="1"/>
    <col min="5" max="5" width="18" customWidth="1"/>
    <col min="6" max="6" width="12" customWidth="1"/>
    <col min="7" max="7" width="14" customWidth="1"/>
    <col min="8" max="8" width="50" customWidth="1"/>
    <col min="9" max="26" width="8.6640625" customWidth="1"/>
  </cols>
  <sheetData>
    <row r="1" spans="2:9" ht="39.75" customHeight="1" x14ac:dyDescent="0.3">
      <c r="B1" s="67" t="s">
        <v>99</v>
      </c>
      <c r="C1" s="59"/>
      <c r="D1" s="59"/>
      <c r="E1" s="59"/>
      <c r="F1" s="59"/>
      <c r="G1" s="59"/>
      <c r="H1" s="60"/>
    </row>
    <row r="2" spans="2:9" ht="18" customHeight="1" x14ac:dyDescent="0.3">
      <c r="B2" s="68" t="s">
        <v>100</v>
      </c>
      <c r="C2" s="69"/>
      <c r="D2" s="69"/>
      <c r="E2" s="69"/>
      <c r="F2" s="69"/>
      <c r="G2" s="69"/>
      <c r="H2" s="69"/>
    </row>
    <row r="3" spans="2:9" ht="27.75" customHeight="1" x14ac:dyDescent="0.3">
      <c r="B3" s="3" t="s">
        <v>101</v>
      </c>
      <c r="C3" s="3" t="s">
        <v>102</v>
      </c>
      <c r="D3" s="3" t="s">
        <v>103</v>
      </c>
      <c r="E3" s="3" t="s">
        <v>11</v>
      </c>
      <c r="F3" s="3" t="s">
        <v>104</v>
      </c>
      <c r="G3" s="3" t="s">
        <v>13</v>
      </c>
      <c r="H3" s="3" t="s">
        <v>17</v>
      </c>
      <c r="I3" s="3" t="s">
        <v>105</v>
      </c>
    </row>
    <row r="4" spans="2:9" ht="27.75" customHeight="1" x14ac:dyDescent="0.3">
      <c r="B4" s="46">
        <v>1</v>
      </c>
      <c r="C4" s="11" t="s">
        <v>106</v>
      </c>
      <c r="D4" s="46" t="s">
        <v>107</v>
      </c>
      <c r="E4" s="47" t="s">
        <v>24</v>
      </c>
      <c r="F4" s="46" t="s">
        <v>108</v>
      </c>
      <c r="G4" s="46"/>
      <c r="H4" s="17" t="s">
        <v>36</v>
      </c>
      <c r="I4" s="11"/>
    </row>
    <row r="5" spans="2:9" ht="27.75" customHeight="1" x14ac:dyDescent="0.3">
      <c r="B5" s="48">
        <v>2</v>
      </c>
      <c r="C5" s="49" t="s">
        <v>109</v>
      </c>
      <c r="D5" s="48" t="s">
        <v>110</v>
      </c>
      <c r="E5" s="50" t="s">
        <v>24</v>
      </c>
      <c r="F5" s="48" t="s">
        <v>108</v>
      </c>
      <c r="G5" s="48"/>
      <c r="H5" s="17" t="s">
        <v>36</v>
      </c>
      <c r="I5" s="49"/>
    </row>
    <row r="6" spans="2:9" ht="27.75" customHeight="1" x14ac:dyDescent="0.3">
      <c r="B6" s="46">
        <v>3</v>
      </c>
      <c r="C6" s="11" t="s">
        <v>111</v>
      </c>
      <c r="D6" s="46" t="s">
        <v>112</v>
      </c>
      <c r="E6" s="47" t="s">
        <v>24</v>
      </c>
      <c r="F6" s="46" t="s">
        <v>108</v>
      </c>
      <c r="G6" s="46"/>
      <c r="H6" s="17" t="s">
        <v>36</v>
      </c>
      <c r="I6" s="11"/>
    </row>
    <row r="7" spans="2:9" ht="27.75" customHeight="1" x14ac:dyDescent="0.3">
      <c r="B7" s="48">
        <v>4</v>
      </c>
      <c r="C7" s="49" t="s">
        <v>113</v>
      </c>
      <c r="D7" s="48" t="s">
        <v>114</v>
      </c>
      <c r="E7" s="50" t="s">
        <v>24</v>
      </c>
      <c r="F7" s="48" t="s">
        <v>108</v>
      </c>
      <c r="G7" s="48"/>
      <c r="H7" s="17" t="s">
        <v>36</v>
      </c>
      <c r="I7" s="49"/>
    </row>
    <row r="8" spans="2:9" ht="27.75" customHeight="1" x14ac:dyDescent="0.3">
      <c r="B8" s="46">
        <v>5</v>
      </c>
      <c r="C8" s="11" t="s">
        <v>115</v>
      </c>
      <c r="D8" s="46" t="s">
        <v>116</v>
      </c>
      <c r="E8" s="47" t="s">
        <v>24</v>
      </c>
      <c r="F8" s="46" t="s">
        <v>108</v>
      </c>
      <c r="G8" s="46"/>
      <c r="H8" s="17" t="s">
        <v>36</v>
      </c>
      <c r="I8" s="11"/>
    </row>
    <row r="9" spans="2:9" ht="27.75" customHeight="1" x14ac:dyDescent="0.3">
      <c r="B9" s="48">
        <v>6</v>
      </c>
      <c r="C9" s="49" t="s">
        <v>117</v>
      </c>
      <c r="D9" s="48" t="s">
        <v>118</v>
      </c>
      <c r="E9" s="50" t="s">
        <v>24</v>
      </c>
      <c r="F9" s="48" t="s">
        <v>119</v>
      </c>
      <c r="G9" s="48"/>
      <c r="H9" s="17" t="s">
        <v>36</v>
      </c>
      <c r="I9" s="49"/>
    </row>
    <row r="10" spans="2:9" ht="27.75" customHeight="1" x14ac:dyDescent="0.3">
      <c r="B10" s="46">
        <v>7</v>
      </c>
      <c r="C10" s="11" t="s">
        <v>120</v>
      </c>
      <c r="D10" s="46" t="s">
        <v>121</v>
      </c>
      <c r="E10" s="47" t="s">
        <v>24</v>
      </c>
      <c r="F10" s="46" t="s">
        <v>119</v>
      </c>
      <c r="G10" s="46"/>
      <c r="H10" s="17" t="s">
        <v>36</v>
      </c>
      <c r="I10" s="11"/>
    </row>
    <row r="11" spans="2:9" ht="27.75" customHeight="1" x14ac:dyDescent="0.3">
      <c r="B11" s="48">
        <v>8</v>
      </c>
      <c r="C11" s="49" t="s">
        <v>122</v>
      </c>
      <c r="D11" s="48" t="s">
        <v>123</v>
      </c>
      <c r="E11" s="50" t="s">
        <v>24</v>
      </c>
      <c r="F11" s="48" t="s">
        <v>119</v>
      </c>
      <c r="G11" s="48"/>
      <c r="H11" s="17" t="s">
        <v>36</v>
      </c>
      <c r="I11" s="49"/>
    </row>
    <row r="12" spans="2:9" ht="27.75" customHeight="1" x14ac:dyDescent="0.3">
      <c r="B12" s="46">
        <v>9</v>
      </c>
      <c r="C12" s="11" t="s">
        <v>124</v>
      </c>
      <c r="D12" s="46" t="s">
        <v>125</v>
      </c>
      <c r="E12" s="47" t="s">
        <v>24</v>
      </c>
      <c r="F12" s="46" t="s">
        <v>119</v>
      </c>
      <c r="G12" s="46"/>
      <c r="H12" s="17" t="s">
        <v>36</v>
      </c>
      <c r="I12" s="11"/>
    </row>
    <row r="13" spans="2:9" ht="27.75" customHeight="1" x14ac:dyDescent="0.3">
      <c r="B13" s="48">
        <v>10</v>
      </c>
      <c r="C13" s="49" t="s">
        <v>126</v>
      </c>
      <c r="D13" s="48" t="s">
        <v>127</v>
      </c>
      <c r="E13" s="50" t="s">
        <v>24</v>
      </c>
      <c r="F13" s="48" t="s">
        <v>119</v>
      </c>
      <c r="G13" s="48"/>
      <c r="H13" s="17" t="s">
        <v>36</v>
      </c>
      <c r="I13" s="49"/>
    </row>
    <row r="14" spans="2:9" ht="27.75" customHeight="1" x14ac:dyDescent="0.3">
      <c r="B14" s="46">
        <v>11</v>
      </c>
      <c r="C14" s="11" t="s">
        <v>128</v>
      </c>
      <c r="D14" s="46" t="s">
        <v>129</v>
      </c>
      <c r="E14" s="47" t="s">
        <v>24</v>
      </c>
      <c r="F14" s="46" t="s">
        <v>130</v>
      </c>
      <c r="G14" s="46"/>
      <c r="H14" s="17" t="s">
        <v>36</v>
      </c>
      <c r="I14" s="11"/>
    </row>
    <row r="15" spans="2:9" ht="27.75" customHeight="1" x14ac:dyDescent="0.3">
      <c r="B15" s="48">
        <v>12</v>
      </c>
      <c r="C15" s="49" t="s">
        <v>131</v>
      </c>
      <c r="D15" s="48" t="s">
        <v>132</v>
      </c>
      <c r="E15" s="50" t="s">
        <v>24</v>
      </c>
      <c r="F15" s="48" t="s">
        <v>130</v>
      </c>
      <c r="G15" s="48"/>
      <c r="H15" s="17" t="s">
        <v>36</v>
      </c>
      <c r="I15" s="49"/>
    </row>
    <row r="16" spans="2:9" ht="27.75" customHeight="1" x14ac:dyDescent="0.3">
      <c r="B16" s="46">
        <v>13</v>
      </c>
      <c r="C16" s="11" t="s">
        <v>133</v>
      </c>
      <c r="D16" s="46" t="s">
        <v>134</v>
      </c>
      <c r="E16" s="47" t="s">
        <v>24</v>
      </c>
      <c r="F16" s="46" t="s">
        <v>130</v>
      </c>
      <c r="G16" s="46"/>
      <c r="H16" s="17" t="s">
        <v>36</v>
      </c>
      <c r="I16" s="11"/>
    </row>
    <row r="17" spans="2:9" ht="27.75" customHeight="1" x14ac:dyDescent="0.3">
      <c r="B17" s="48">
        <v>14</v>
      </c>
      <c r="C17" s="49" t="s">
        <v>135</v>
      </c>
      <c r="D17" s="48" t="s">
        <v>136</v>
      </c>
      <c r="E17" s="50" t="s">
        <v>24</v>
      </c>
      <c r="F17" s="48" t="s">
        <v>130</v>
      </c>
      <c r="G17" s="48"/>
      <c r="H17" s="17" t="s">
        <v>36</v>
      </c>
      <c r="I17" s="49"/>
    </row>
    <row r="18" spans="2:9" ht="27.75" customHeight="1" x14ac:dyDescent="0.3">
      <c r="B18" s="46">
        <v>15</v>
      </c>
      <c r="C18" s="11" t="s">
        <v>137</v>
      </c>
      <c r="D18" s="46" t="s">
        <v>138</v>
      </c>
      <c r="E18" s="47" t="s">
        <v>24</v>
      </c>
      <c r="F18" s="46" t="s">
        <v>130</v>
      </c>
      <c r="G18" s="46"/>
      <c r="H18" s="17" t="s">
        <v>36</v>
      </c>
      <c r="I18" s="11"/>
    </row>
    <row r="19" spans="2:9" ht="60" customHeight="1" x14ac:dyDescent="0.3">
      <c r="B19" s="48">
        <v>16</v>
      </c>
      <c r="C19" s="49" t="s">
        <v>139</v>
      </c>
      <c r="D19" s="48" t="s">
        <v>140</v>
      </c>
      <c r="E19" s="51" t="s">
        <v>29</v>
      </c>
      <c r="F19" s="48" t="s">
        <v>108</v>
      </c>
      <c r="G19" s="48"/>
      <c r="H19" s="17" t="s">
        <v>36</v>
      </c>
      <c r="I19" s="49"/>
    </row>
    <row r="20" spans="2:9" ht="27.75" customHeight="1" x14ac:dyDescent="0.3">
      <c r="B20" s="46">
        <v>17</v>
      </c>
      <c r="C20" s="11" t="s">
        <v>141</v>
      </c>
      <c r="D20" s="46" t="s">
        <v>142</v>
      </c>
      <c r="E20" s="52" t="s">
        <v>29</v>
      </c>
      <c r="F20" s="46" t="s">
        <v>108</v>
      </c>
      <c r="G20" s="46"/>
      <c r="H20" s="17" t="s">
        <v>36</v>
      </c>
      <c r="I20" s="11"/>
    </row>
    <row r="21" spans="2:9" ht="27.75" customHeight="1" x14ac:dyDescent="0.3">
      <c r="B21" s="48">
        <v>18</v>
      </c>
      <c r="C21" s="49" t="s">
        <v>143</v>
      </c>
      <c r="D21" s="48" t="s">
        <v>144</v>
      </c>
      <c r="E21" s="51" t="s">
        <v>29</v>
      </c>
      <c r="F21" s="48" t="s">
        <v>119</v>
      </c>
      <c r="G21" s="48"/>
      <c r="H21" s="17" t="s">
        <v>36</v>
      </c>
      <c r="I21" s="49"/>
    </row>
    <row r="22" spans="2:9" ht="48" customHeight="1" x14ac:dyDescent="0.3">
      <c r="B22" s="53">
        <v>19</v>
      </c>
      <c r="C22" s="32" t="s">
        <v>145</v>
      </c>
      <c r="D22" s="53" t="s">
        <v>146</v>
      </c>
      <c r="E22" s="54" t="s">
        <v>24</v>
      </c>
      <c r="F22" s="53" t="s">
        <v>130</v>
      </c>
      <c r="G22" s="53"/>
      <c r="H22" s="17" t="s">
        <v>36</v>
      </c>
      <c r="I22" s="32"/>
    </row>
    <row r="23" spans="2:9" ht="55.5" customHeight="1" x14ac:dyDescent="0.3">
      <c r="B23" s="48">
        <v>20</v>
      </c>
      <c r="C23" s="49" t="s">
        <v>147</v>
      </c>
      <c r="D23" s="48" t="s">
        <v>148</v>
      </c>
      <c r="E23" s="51" t="s">
        <v>29</v>
      </c>
      <c r="F23" s="48" t="s">
        <v>119</v>
      </c>
      <c r="G23" s="48"/>
      <c r="H23" s="17" t="s">
        <v>36</v>
      </c>
      <c r="I23" s="49"/>
    </row>
    <row r="24" spans="2:9" ht="57" customHeight="1" x14ac:dyDescent="0.3">
      <c r="B24" s="53">
        <v>21</v>
      </c>
      <c r="C24" s="32" t="s">
        <v>149</v>
      </c>
      <c r="D24" s="53" t="s">
        <v>150</v>
      </c>
      <c r="E24" s="54" t="s">
        <v>24</v>
      </c>
      <c r="F24" s="53" t="s">
        <v>130</v>
      </c>
      <c r="G24" s="53"/>
      <c r="H24" s="17" t="s">
        <v>36</v>
      </c>
      <c r="I24" s="32"/>
    </row>
    <row r="25" spans="2:9" ht="57" customHeight="1" x14ac:dyDescent="0.3">
      <c r="B25" s="55">
        <v>22</v>
      </c>
      <c r="C25" s="56" t="s">
        <v>151</v>
      </c>
      <c r="D25" s="55" t="s">
        <v>152</v>
      </c>
      <c r="E25" s="55" t="s">
        <v>24</v>
      </c>
      <c r="F25" s="55" t="s">
        <v>153</v>
      </c>
      <c r="G25" s="55"/>
      <c r="H25" s="57" t="s">
        <v>36</v>
      </c>
      <c r="I25" s="56" t="s">
        <v>154</v>
      </c>
    </row>
    <row r="26" spans="2:9" ht="52.5" customHeight="1" x14ac:dyDescent="0.3">
      <c r="B26" s="55">
        <v>23</v>
      </c>
      <c r="C26" s="56" t="s">
        <v>155</v>
      </c>
      <c r="D26" s="55" t="s">
        <v>156</v>
      </c>
      <c r="E26" s="55" t="s">
        <v>24</v>
      </c>
      <c r="F26" s="55" t="s">
        <v>153</v>
      </c>
      <c r="G26" s="55"/>
      <c r="H26" s="57" t="s">
        <v>36</v>
      </c>
      <c r="I26" s="56" t="s">
        <v>153</v>
      </c>
    </row>
    <row r="27" spans="2:9" ht="13.5" customHeight="1" x14ac:dyDescent="0.3"/>
    <row r="28" spans="2:9" ht="13.5" customHeight="1" x14ac:dyDescent="0.3"/>
    <row r="29" spans="2:9" ht="13.5" customHeight="1" x14ac:dyDescent="0.3"/>
    <row r="30" spans="2:9" ht="13.5" customHeight="1" x14ac:dyDescent="0.3"/>
    <row r="31" spans="2:9" ht="13.5" customHeight="1" x14ac:dyDescent="0.3"/>
    <row r="32" spans="2:9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2">
    <mergeCell ref="B1:H1"/>
    <mergeCell ref="B2:H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Kế hoạch dự án</vt:lpstr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Le</dc:creator>
  <cp:lastModifiedBy>Huy Le</cp:lastModifiedBy>
  <dcterms:created xsi:type="dcterms:W3CDTF">2026-03-31T06:59:42Z</dcterms:created>
  <dcterms:modified xsi:type="dcterms:W3CDTF">2026-06-04T19:04:32Z</dcterms:modified>
</cp:coreProperties>
</file>