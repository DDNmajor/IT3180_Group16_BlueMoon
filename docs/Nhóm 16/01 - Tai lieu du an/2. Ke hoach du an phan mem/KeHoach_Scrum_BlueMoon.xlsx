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BlueMoon\docs\Nhóm 16\01 - Tai lieu du an\2. Ke hoach du an phan mem\"/>
    </mc:Choice>
  </mc:AlternateContent>
  <xr:revisionPtr revIDLastSave="0" documentId="13_ncr:1_{30EAE175-2EA2-4C31-B0E6-5002591A1F0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Kế hoạch dự án" sheetId="1" r:id="rId1"/>
    <sheet name="Product Back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6" i="1" l="1"/>
  <c r="I55" i="1"/>
  <c r="I46" i="1"/>
  <c r="I32" i="1"/>
  <c r="I57" i="1"/>
  <c r="I54" i="1"/>
  <c r="I53" i="1"/>
  <c r="I52" i="1"/>
  <c r="I51" i="1"/>
  <c r="I50" i="1"/>
  <c r="I49" i="1"/>
  <c r="I45" i="1"/>
  <c r="I42" i="1"/>
  <c r="I41" i="1"/>
  <c r="I40" i="1"/>
  <c r="I39" i="1"/>
  <c r="I38" i="1"/>
  <c r="I36" i="1"/>
  <c r="I35" i="1"/>
  <c r="I31" i="1"/>
  <c r="I30" i="1"/>
  <c r="I29" i="1"/>
  <c r="I28" i="1"/>
  <c r="I27" i="1"/>
  <c r="I26" i="1"/>
  <c r="I25" i="1"/>
  <c r="I24" i="1"/>
  <c r="I23" i="1"/>
  <c r="I22" i="1"/>
  <c r="I19" i="1"/>
  <c r="I18" i="1"/>
  <c r="I17" i="1"/>
  <c r="I16" i="1"/>
  <c r="I15" i="1"/>
  <c r="I14" i="1"/>
  <c r="I13" i="1"/>
  <c r="I10" i="1"/>
  <c r="I9" i="1"/>
  <c r="I8" i="1"/>
  <c r="I7" i="1"/>
</calcChain>
</file>

<file path=xl/sharedStrings.xml><?xml version="1.0" encoding="utf-8"?>
<sst xmlns="http://schemas.openxmlformats.org/spreadsheetml/2006/main" count="435" uniqueCount="213">
  <si>
    <t>KẾ HOẠCH DỰ ÁN THEO AGILE/SCRUM</t>
  </si>
  <si>
    <t>TÊN DỰ ÁN: Blue Moon</t>
  </si>
  <si>
    <t>TIẾN ĐỘ TỔNG</t>
  </si>
  <si>
    <t>SẢN PHẨM BÀN GIAO / PHẠM VI DỰ ÁN</t>
  </si>
  <si>
    <t>Phần mềm quản lý thu phí chung cư BlueMoon</t>
  </si>
  <si>
    <t>v1.0: Quản lý thu phí, quản lý hộ khẩu/nhân khẩu, đăng nhập phân quyền.
v2.0: Phí gửi xe, thu hộ điện/nước/internet.
Nền tảng: Spring Boot + Thymeleaf + MySQL. 
Nhóm Scrum gồm Scrum Master (SM), Product Owner (PO) và Development Team.</t>
  </si>
  <si>
    <t>⚠ RỦI RO</t>
  </si>
  <si>
    <t>TÊN CÔNG VIỆC / USER STORY</t>
  </si>
  <si>
    <t>LOẠI (FR/NFR)</t>
  </si>
  <si>
    <t>NGƯỜI PHỤ TRÁCH</t>
  </si>
  <si>
    <t>STORY POINTS</t>
  </si>
  <si>
    <t>BẮT ĐẦU</t>
  </si>
  <si>
    <t>KẾT THÚC</t>
  </si>
  <si>
    <t>SỐ NGÀY</t>
  </si>
  <si>
    <t>TRẠNG THÁI</t>
  </si>
  <si>
    <t>GHI CHÚ / MÔ TẢ</t>
  </si>
  <si>
    <t>Sprint 0 — Khởi động &amp; Lập kế hoạch</t>
  </si>
  <si>
    <t>Scrum Master</t>
  </si>
  <si>
    <t>Complete</t>
  </si>
  <si>
    <t>Họp kick-off, lập Product Backlog, xác định DoD, thiết lập repo GitHub, phân công vai trò.</t>
  </si>
  <si>
    <t xml:space="preserve">    Xây dựng Product Backlog ban đầu</t>
  </si>
  <si>
    <t>FR</t>
  </si>
  <si>
    <t>Product Owner</t>
  </si>
  <si>
    <t>Liệt kê và ưu tiên hóa toàn bộ User Story từ Raw Log.</t>
  </si>
  <si>
    <t xml:space="preserve">    Thiết lập môi trường phát triển</t>
  </si>
  <si>
    <t>NFR</t>
  </si>
  <si>
    <t>Cài đặt JDK 17+, MySQL 8+, IntelliJ IDEA, Git và Maven để phục vụ phát triển hệ thống Spring Boot.</t>
  </si>
  <si>
    <t xml:space="preserve">    Tạo repository GitHub &amp; cấu trúc thư mục</t>
  </si>
  <si>
    <t>Tạo repo, thêm thành viên, quy định branching strategy.</t>
  </si>
  <si>
    <t xml:space="preserve">    Họp Sprint Planning Sprint 1</t>
  </si>
  <si>
    <t>–</t>
  </si>
  <si>
    <t>Cả nhóm</t>
  </si>
  <si>
    <t>Chọn User Story cho Sprint 1, ước lượng Story Points.</t>
  </si>
  <si>
    <t>Sprint 1 — Đăng nhập &amp; Quản lý khoản thu</t>
  </si>
  <si>
    <t>Xây dựng chức năng đăng nhập (RL-001, RL-002) và tạo/sửa/xóa khoản thu (RL-004, RL-005, RL-006).</t>
  </si>
  <si>
    <t xml:space="preserve">    Thiết kế CSDL: bảng users, khoan_thu</t>
  </si>
  <si>
    <t>Tạo schema MySQL theo thiết kế ER. Liên kết RL-001, RL-004.</t>
  </si>
  <si>
    <t xml:space="preserve">    Cài đặt chức năng Đăng nhập</t>
  </si>
  <si>
    <t>LoginController, màn hình login, xác thực tài khoản. Liên kết RL-001, RL-021.</t>
  </si>
  <si>
    <t xml:space="preserve">    Cài đặt Phân quyền (trưởng ban / kế toán)</t>
  </si>
  <si>
    <t>Phân quyền 2 vai trò theo đặc tả. Liên kết RL-002, RL-022.</t>
  </si>
  <si>
    <t xml:space="preserve">    Cài đặt Tạo khoản thu mới</t>
  </si>
  <si>
    <t>Form tạo khoản thu, validate input. Liên kết RL-004.</t>
  </si>
  <si>
    <t xml:space="preserve">    Cài đặt Sửa / Xóa khoản thu</t>
  </si>
  <si>
    <t>CRUD khoản thu. Liên kết RL-005.</t>
  </si>
  <si>
    <t xml:space="preserve">    Viết test case kiểm thử chức năng đăng nhập</t>
  </si>
  <si>
    <t>Kiểm thử hộp trắng + hộp đen theo Chương 9 bộ bài tập.</t>
  </si>
  <si>
    <t xml:space="preserve">    Sprint Review &amp; Retrospective Sprint 1</t>
  </si>
  <si>
    <t>Demo sản phẩm, đánh giá tiến độ, cập nhật Backlog.</t>
  </si>
  <si>
    <t>Sprint 2 — Thu phí &amp; Quản lý hộ khẩu/nhân khẩu</t>
  </si>
  <si>
    <t>Ghi nhận thanh toán (RL-007, RL-008, RL-009), quản lý hộ khẩu/nhân khẩu (RL-013, RL-014, RL-015).</t>
  </si>
  <si>
    <t xml:space="preserve">    Thiết kế CSDL: bảng ho_khau, nhan_khau, nop_tien</t>
  </si>
  <si>
    <t>Tạo các bảng liên kết theo ER diagram. Liên kết RL-013, RL-014.</t>
  </si>
  <si>
    <t xml:space="preserve">    Cài đặt Ghi nhận thanh toán (Thu phí)</t>
  </si>
  <si>
    <t>AddNopTien controller, validate. Liên kết RL-007.</t>
  </si>
  <si>
    <t xml:space="preserve">    Cài đặt Tìm kiếm &amp; Lọc hộ gia đình</t>
  </si>
  <si>
    <t>Tìm theo mã căn hộ, tên chủ hộ, trạng thái. Liên kết RL-008.</t>
  </si>
  <si>
    <t>Cài đặt Audit Log (nhật ký thao tác)</t>
  </si>
  <si>
    <t xml:space="preserve">    Cài đặt Trạng thái thu phí theo căn hộ</t>
  </si>
  <si>
    <t>Hiển thị đã nộp / chưa nộp / nợ. Liên kết RL-009.</t>
  </si>
  <si>
    <t xml:space="preserve">    Cài đặt Quản lý hộ khẩu (CRUD)</t>
  </si>
  <si>
    <t>Thêm/sửa/xóa hộ gia đình. Liên kết RL-013.</t>
  </si>
  <si>
    <t xml:space="preserve">    Cài đặt Quản lý nhân khẩu &amp; biến động</t>
  </si>
  <si>
    <t>Thêm/sửa/xóa nhân khẩu, đăng ký tạm trú/tạm vắng. Liên kết RL-014.</t>
  </si>
  <si>
    <t xml:space="preserve">    Viết test case kiểm thử chức năng thu phí</t>
  </si>
  <si>
    <t>Hộp trắng + hộp đen. Liên kết RL-024.</t>
  </si>
  <si>
    <t xml:space="preserve">    Cài đặt Quản lý người dùng (CRUD NguoiDung)</t>
  </si>
  <si>
    <t xml:space="preserve">    Cài đặt Quản lý Loại khoản thu (LoaiKhoanThu)</t>
  </si>
  <si>
    <t xml:space="preserve">    Cài đặt trang Theo dõi thu phí tổng hợp</t>
  </si>
  <si>
    <t>Sprint 3 — Thống kê, Báo cáo &amp; Hoàn thiện</t>
  </si>
  <si>
    <t>Not Started</t>
  </si>
  <si>
    <t>Thống kê (RL-011), xuất báo cáo (RL-012), tra cứu nợ (RL-010), đổi mật khẩu (RL-003), refactor &amp; kiểm thử tổng thể.</t>
  </si>
  <si>
    <t xml:space="preserve">    Cài đặt Thống kê các khoản đóng góp</t>
  </si>
  <si>
    <t>Tổng tiền/đợt, số hộ nộp, chi tiết từng hộ. Liên kết RL-011.</t>
  </si>
  <si>
    <t xml:space="preserve">    Cài đặt Tra cứu nợ phí</t>
  </si>
  <si>
    <t>Danh sách hộ nợ, số tiền, lần nộp cuối. Liên kết RL-010.</t>
  </si>
  <si>
    <t xml:space="preserve">    Cài đặt Quản lý phí gửi xe</t>
  </si>
  <si>
    <t>Tạo loại khoản thu xe máy/ô tô, tính tự động. Liên kết RL-019, RL-014.</t>
  </si>
  <si>
    <t xml:space="preserve">    Cài đặt Import dữ liệu từ Excel</t>
  </si>
  <si>
    <t xml:space="preserve">    Cài đặt Xuất báo cáo (Excel/PDF)</t>
  </si>
  <si>
    <t>Export báo cáo tổng thể. Liên kết RL-012.</t>
  </si>
  <si>
    <t xml:space="preserve">    Cài đặt Đổi mật khẩu</t>
  </si>
  <si>
    <t xml:space="preserve">    Refactor mã nguồn &amp; áp dụng Coding Convention</t>
  </si>
  <si>
    <t xml:space="preserve">    Kiểm thử tích hợp toàn bộ luồng nghiệp vụ</t>
  </si>
  <si>
    <t>4 luồng: đăng nhập, tạo khoản thu, thu phí, thống kê.</t>
  </si>
  <si>
    <t>CHÚ GIẢI TRẠNG THÁI</t>
  </si>
  <si>
    <t>In Progress</t>
  </si>
  <si>
    <t>Overdue</t>
  </si>
  <si>
    <t>Blocked</t>
  </si>
  <si>
    <t>PRODUCT BACKLOG — BlueMoon Fee Management System</t>
  </si>
  <si>
    <t>ƯU TIÊN</t>
  </si>
  <si>
    <t>MÃ RL</t>
  </si>
  <si>
    <t>USER STORY</t>
  </si>
  <si>
    <t>SPRINT DỰ KIẾN</t>
  </si>
  <si>
    <t>GHI CHÚ</t>
  </si>
  <si>
    <t>RL-001</t>
  </si>
  <si>
    <t>Là trưởng ban, tôi muốn đăng nhập bằng tài khoản/mật khẩu.</t>
  </si>
  <si>
    <t>Sprint 1</t>
  </si>
  <si>
    <t>RL-002</t>
  </si>
  <si>
    <t>Là trưởng ban, tôi muốn phân quyền kế toán / trưởng ban rõ ràng.</t>
  </si>
  <si>
    <t>RL-004</t>
  </si>
  <si>
    <t>Là kế toán, tôi muốn tạo khoản thu mới (bắt buộc/tự nguyện).</t>
  </si>
  <si>
    <t>RL-005</t>
  </si>
  <si>
    <t>Là kế toán, tôi muốn sửa/xóa khoản thu khi phát hiện sai sót.</t>
  </si>
  <si>
    <t>RL-006</t>
  </si>
  <si>
    <t>Là kế toán, tôi muốn xem danh sách khoản thu, lọc theo loại/trạng thái.</t>
  </si>
  <si>
    <t>RL-007</t>
  </si>
  <si>
    <t>Là kế toán, tôi muốn ghi nhận thanh toán của từng hộ theo mã căn hộ.</t>
  </si>
  <si>
    <t>Sprint 2</t>
  </si>
  <si>
    <t>RL-008</t>
  </si>
  <si>
    <t>Là kế toán, tôi muốn tìm nhanh hộ gia đình và lọc theo trạng thái đóng phí.</t>
  </si>
  <si>
    <t>RL-009</t>
  </si>
  <si>
    <t>Là trưởng ban, tôi muốn theo dõi trạng thái thu phí từng căn hộ.</t>
  </si>
  <si>
    <t>RL-013</t>
  </si>
  <si>
    <t>Là trưởng ban, tôi muốn thêm/sửa/xóa thông tin hộ gia đình.</t>
  </si>
  <si>
    <t>RL-014</t>
  </si>
  <si>
    <t>Là trưởng ban, tôi muốn quản lý nhân khẩu và ghi nhận biến động.</t>
  </si>
  <si>
    <t>RL-010</t>
  </si>
  <si>
    <t>Là trưởng ban, tôi muốn biết cư dân nào còn nợ phí.</t>
  </si>
  <si>
    <t>Sprint 3</t>
  </si>
  <si>
    <t>RL-011</t>
  </si>
  <si>
    <t>Là trưởng ban, tôi muốn thống kê tổng tiền thu mỗi đợt.</t>
  </si>
  <si>
    <t>RL-012</t>
  </si>
  <si>
    <t>Là trưởng ban, tôi muốn xuất báo cáo ra Excel/PDF.</t>
  </si>
  <si>
    <t>RL-003</t>
  </si>
  <si>
    <t>Là trưởng ban, tôi muốn đổi mật khẩu đăng nhập.</t>
  </si>
  <si>
    <t>RL-015</t>
  </si>
  <si>
    <t>Là trưởng ban, tôi muốn tra cứu chi tiết hộ khẩu/nhân khẩu.</t>
  </si>
  <si>
    <t>RL-021</t>
  </si>
  <si>
    <t>Hệ thống phải xác thực người dùng trước khi cho phép truy cập.</t>
  </si>
  <si>
    <t>RL-022</t>
  </si>
  <si>
    <t>Hệ thống phải hỗ trợ phân quyền ít nhất 2 vai trò.</t>
  </si>
  <si>
    <t>RL-024</t>
  </si>
  <si>
    <t>Thời gian phản hồi mỗi thao tác &lt; 3 giây.</t>
  </si>
  <si>
    <t>RL-019</t>
  </si>
  <si>
    <t>Là trưởng ban, tôi muốn quản lý phí gửi xe (xe máy/ô tô).</t>
  </si>
  <si>
    <t>RL-023</t>
  </si>
  <si>
    <t>Hệ thống phải ghi nhật ký mọi thao tác (ai, làm gì, lúc nào).</t>
  </si>
  <si>
    <t>RL-018</t>
  </si>
  <si>
    <t>Là kế toán, tôi muốn import file Excel để cập nhật dữ liệu hàng loạt.</t>
  </si>
  <si>
    <t>RL-016</t>
  </si>
  <si>
    <t>Là trưởng ban, tôi muốn hệ thống nhắc cư dân đóng phí.</t>
  </si>
  <si>
    <t>v2.0</t>
  </si>
  <si>
    <t>Có thể để v2.0</t>
  </si>
  <si>
    <t>RL-020</t>
  </si>
  <si>
    <t>Là trưởng ban, tôi muốn thu hộ điện/nước/internet.</t>
  </si>
  <si>
    <t>Sprint 4 — v2.0: Phí gửi xe &amp; Thu hộ</t>
  </si>
  <si>
    <t>Hoàn thiện các tính năng v2.0: quản lý phí gửi xe (PER_XE), thu hộ điện/nước/internet (THU_HO), email nhắc nợ tự động (RL-016, RL-019, RL-020).</t>
  </si>
  <si>
    <t xml:space="preserve">    Cài đặt Quản lý phương tiện (PhuongTien CRUD)</t>
  </si>
  <si>
    <t>Thêm/sửa/xóa xe máy/ô tô theo hộ, kiểm tra biển số trùng. Liên kết RL-019.</t>
  </si>
  <si>
    <t xml:space="preserve">    Cài đặt tính phí PER_XE tự động theo số xe</t>
  </si>
  <si>
    <t>Tự tính soTienYeuCau = số xe máy × giaXeMay + số ô tô × giaOto khi tạo ThanhToan. Liên kết RL-019.</t>
  </si>
  <si>
    <t xml:space="preserve">    Cài đặt loại phí THU_HO (thu hộ điện/nước/internet)</t>
  </si>
  <si>
    <t>Nhập số tiền riêng từng hộ qua form nhap-thu-ho. Liên kết RL-020.</t>
  </si>
  <si>
    <t xml:space="preserve">    Cài đặt Mẫu khoản thu định kỳ (MauKhoanThu)</t>
  </si>
  <si>
    <t>Template tự động tạo KhoanThu mỗi tháng vào ngày 28, back-fill khi khởi động.</t>
  </si>
  <si>
    <t xml:space="preserve">    Cài đặt Email nhắc nợ tự động (EmailSchedulerService)</t>
  </si>
  <si>
    <t>3 job: thứ Hai 8h (tất cả nợ), hằng ngày 8h (gần hạn 1–3 ngày), hằng ngày 9h (vừa quá hạn). Liên kết RL-016.</t>
  </si>
  <si>
    <t xml:space="preserve">    Cài đặt Lịch sử email &amp; Audit Log DB</t>
  </si>
  <si>
    <t>Lưu mọi lần gửi email vào bảng lich_su_email; nâng Audit Log từ SLF4J lên bảng audit_log. Liên kết RL-023.</t>
  </si>
  <si>
    <t xml:space="preserve">    Cài đặt Thùng rác (soft delete)</t>
  </si>
  <si>
    <t>Xóa mềm HoGiaDinh và KhoanThu bằng deleted_at + @SQLRestriction; khôi phục/xóa vĩnh viễn tại /thung-rac.</t>
  </si>
  <si>
    <t xml:space="preserve">    Sprint Review &amp; Demo v2.0</t>
  </si>
  <si>
    <t>Demo toàn bộ v2.0, chốt bàn giao sản phẩm hoàn chỉnh.</t>
  </si>
  <si>
    <t>Sprint 4</t>
  </si>
  <si>
    <t>Scrum Master: Trần Khánh Linh  |  Product Owner: Lê Quang Huy  |  Cập nhật lần cuối: 15/06/2026</t>
  </si>
  <si>
    <t>RL-025</t>
  </si>
  <si>
    <t>Là kế toán, tôi muốn quản lý phương tiện của từng hộ gia đình.</t>
  </si>
  <si>
    <t>PhuongTien CRUD, kiểm tra biển số trùng</t>
  </si>
  <si>
    <t>RL-026</t>
  </si>
  <si>
    <t>Hệ thống phải tự động tạo khoản thu định kỳ mỗi tháng theo mẫu.</t>
  </si>
  <si>
    <t>MauKhoanThu scheduler ngày 28</t>
  </si>
  <si>
    <t>RL-027</t>
  </si>
  <si>
    <t>Hệ thống phải lưu lịch sử gửi email thông báo.</t>
  </si>
  <si>
    <t>Bảng lich_su_email</t>
  </si>
  <si>
    <t>CRUD tài khoản tại /nguoi-dung, tự bảo vệ (không tự xóa/đổi vai trò chính mình).</t>
  </si>
  <si>
    <t>CRUD loại khoản thu tại /loai-khoan-thu, tách biệt khỏi module khoản thu.</t>
  </si>
  <si>
    <t>Dùng Apache POI, validate dữ liệu trước khi lưu DB. Liên kết RL-018.</t>
  </si>
  <si>
    <t>Đổi mật khẩu người dùng đang đăng nhập. Liên kết RL-003.</t>
  </si>
  <si>
    <t>Bảng tất cả hộ vs trạng thái đóng phí tại /thanh-toan/theo-doi dùng paymentMap.</t>
  </si>
  <si>
    <t>Ghi log theo format [AUDIT] Tạo|Sửa|Xóa entity bằng @Slf4j thay vì bảng DB riêng. Liên kết RL-023.</t>
  </si>
  <si>
    <t>Tuân thủ Java Coding Convention, Javadocs.</t>
  </si>
  <si>
    <t>RL-028</t>
  </si>
  <si>
    <t>Là trưởng ban, tôi muốn quản lý tài khoản người dùng hệ thống.</t>
  </si>
  <si>
    <t>CRUD NguoiDung tại /nguoi-dung, tự bảo vệ tài khoản</t>
  </si>
  <si>
    <t>RL-029</t>
  </si>
  <si>
    <t>Là kế toán, tôi muốn quản lý danh mục loại khoản thu.</t>
  </si>
  <si>
    <t>CRUD LoaiKhoanThu tại /loai-khoan-thu</t>
  </si>
  <si>
    <t>RL-030</t>
  </si>
  <si>
    <t>Hệ thống phải tự động áp phí bắt buộc cho mọi hộ khi tạo khoản thu.</t>
  </si>
  <si>
    <t>autoApplyNeuBatBuoc, tạo ThanhToan CON_NO</t>
  </si>
  <si>
    <t>RL-031</t>
  </si>
  <si>
    <t>Là trưởng ban, tôi muốn theo dõi tổng hợp trạng thái thu phí của tất cả hộ.</t>
  </si>
  <si>
    <t>Trang /thanh-toan/theo-doi, paymentMap</t>
  </si>
  <si>
    <t>RL-032</t>
  </si>
  <si>
    <t>Hệ thống phải hỗ trợ migration cơ sở dữ liệu theo phiên bản.</t>
  </si>
  <si>
    <t>bluemoon_schema.sql + migration_v2..v6</t>
  </si>
  <si>
    <t>TEAM LEADER: Lê Quang Huy
PRODUCT OWNER: Lê Quang Huy
SCRUM MASTER: Trần Khánh Linh</t>
  </si>
  <si>
    <t>NGÀY KẾT THÚC: 12/06/2026</t>
  </si>
  <si>
    <t>NGÀY BẮT ĐẦU: 27/3/2026</t>
  </si>
  <si>
    <t>Lê Quang Huy</t>
  </si>
  <si>
    <t>Trần Khánh Linh</t>
  </si>
  <si>
    <t>Đặng Hải Đăng</t>
  </si>
  <si>
    <t>Đoàn Văn Thắng</t>
  </si>
  <si>
    <t xml:space="preserve">    Sprint Review &amp; Retrospective Sprint 2</t>
  </si>
  <si>
    <t xml:space="preserve">    Sprint Review &amp; Retrospective Sprint 3</t>
  </si>
  <si>
    <t>Demo toàn bộ v1.0, cập nhật Backlog. Lên kế hoạch cho v2.0</t>
  </si>
  <si>
    <t>Ghi log bằng @Slf4j format [AUDIT] thay vì bảng DB cho các tính năng đã hoàn thành. Liên kết RL-023, NFR-003.</t>
  </si>
  <si>
    <t xml:space="preserve">    Cập nhật Audit Log</t>
  </si>
  <si>
    <t xml:space="preserve">    Hoàn thiện tài liệu</t>
  </si>
  <si>
    <t>Hoàn thiện tài liệu dự án.</t>
  </si>
  <si>
    <t xml:space="preserve">    Bổ sung hệ thống Database Migration vào schema</t>
  </si>
  <si>
    <t>Thêm vào bluemoon_schema.sql các migration cho các bản mở rộng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</si>
</sst>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scheme val="minor"/>
    </font>
    <font>
      <b/>
      <sz val="22"/>
      <color rgb="FF7F7F7F"/>
      <name val="Calibri"/>
    </font>
    <font>
      <b/>
      <sz val="9"/>
      <color rgb="FF595959"/>
      <name val="Calibri"/>
    </font>
    <font>
      <b/>
      <sz val="12"/>
      <color rgb="FF000000"/>
      <name val="Calibri"/>
    </font>
    <font>
      <b/>
      <sz val="11"/>
      <color rgb="FF000000"/>
      <name val="Calibri"/>
    </font>
    <font>
      <sz val="10"/>
      <color rgb="FF000000"/>
      <name val="Calibri"/>
    </font>
    <font>
      <b/>
      <sz val="10"/>
      <color rgb="FFFFFFFF"/>
      <name val="Calibri"/>
    </font>
    <font>
      <sz val="11"/>
      <color theme="1"/>
      <name val="Arial"/>
    </font>
    <font>
      <sz val="10"/>
      <color rgb="FF595959"/>
      <name val="Calibri"/>
    </font>
    <font>
      <i/>
      <sz val="10"/>
      <color rgb="FF595959"/>
      <name val="Calibri"/>
    </font>
    <font>
      <b/>
      <sz val="10"/>
      <color rgb="FF1A5276"/>
      <name val="Calibri"/>
    </font>
    <font>
      <sz val="10"/>
      <color rgb="FF404040"/>
      <name val="Calibri"/>
    </font>
    <font>
      <b/>
      <sz val="10"/>
      <color rgb="FF7D6608"/>
      <name val="Calibri"/>
    </font>
    <font>
      <b/>
      <sz val="10"/>
      <color rgb="FF595959"/>
      <name val="Calibri"/>
    </font>
    <font>
      <b/>
      <sz val="10"/>
      <color rgb="FF000000"/>
      <name val="Calibri"/>
    </font>
    <font>
      <b/>
      <sz val="16"/>
      <color rgb="FF7F7F7F"/>
      <name val="Calibri"/>
    </font>
    <font>
      <b/>
      <sz val="10"/>
      <color rgb="FF1F497D"/>
      <name val="Calibri"/>
    </font>
    <font>
      <i/>
      <sz val="10"/>
      <color rgb="FFA0A0A0"/>
      <name val="Calibri"/>
    </font>
    <font>
      <sz val="10"/>
      <color rgb="FF404040"/>
      <name val="Calibri"/>
      <family val="2"/>
      <charset val="163"/>
    </font>
    <font>
      <sz val="10"/>
      <color rgb="FF404040"/>
      <name val="Calibri"/>
      <family val="2"/>
      <charset val="163"/>
      <scheme val="minor"/>
    </font>
    <font>
      <sz val="10"/>
      <color rgb="FF000000"/>
      <name val="Calibri"/>
      <family val="2"/>
      <charset val="163"/>
    </font>
  </fonts>
  <fills count="2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404040"/>
        <bgColor rgb="FF404040"/>
      </patternFill>
    </fill>
    <fill>
      <patternFill patternType="solid">
        <fgColor rgb="FFE7E6E6"/>
        <bgColor rgb="FFE7E6E6"/>
      </patternFill>
    </fill>
    <fill>
      <patternFill patternType="solid">
        <fgColor rgb="FFBDD7EE"/>
        <bgColor rgb="FFBDD7EE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rgb="FFFFE699"/>
        <bgColor rgb="FFFFE699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4B942"/>
        <bgColor rgb="FFF4B942"/>
      </patternFill>
    </fill>
    <fill>
      <patternFill patternType="solid">
        <fgColor rgb="FFF7F7F7"/>
        <bgColor rgb="FFF7F7F7"/>
      </patternFill>
    </fill>
    <fill>
      <patternFill patternType="solid">
        <fgColor rgb="FFF2F2F2"/>
        <bgColor rgb="FFFFFFFF"/>
      </patternFill>
    </fill>
    <fill>
      <patternFill patternType="solid">
        <fgColor rgb="FFC6EF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9D9D9"/>
        <bgColor rgb="FFFFFFFF"/>
      </patternFill>
    </fill>
    <fill>
      <patternFill patternType="solid">
        <fgColor theme="0"/>
        <bgColor rgb="FFF2F2F2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medium">
        <color rgb="FFBFBFBF"/>
      </bottom>
      <diagonal/>
    </border>
    <border>
      <left/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</borders>
  <cellStyleXfs count="1">
    <xf numFmtId="0" fontId="0" fillId="0" borderId="1"/>
  </cellStyleXfs>
  <cellXfs count="107">
    <xf numFmtId="0" fontId="0" fillId="0" borderId="0" xfId="0" applyBorder="1"/>
    <xf numFmtId="0" fontId="2" fillId="3" borderId="2" xfId="0" applyFont="1" applyFill="1" applyBorder="1" applyAlignment="1">
      <alignment horizontal="left" vertical="center"/>
    </xf>
    <xf numFmtId="0" fontId="6" fillId="5" borderId="7" xfId="0" applyFont="1" applyFill="1" applyBorder="1" applyAlignment="1">
      <alignment horizontal="center" vertical="center" wrapText="1"/>
    </xf>
    <xf numFmtId="0" fontId="7" fillId="6" borderId="8" xfId="0" applyFont="1" applyFill="1" applyBorder="1"/>
    <xf numFmtId="0" fontId="4" fillId="6" borderId="9" xfId="0" applyFont="1" applyFill="1" applyBorder="1" applyAlignment="1">
      <alignment horizontal="left" vertical="center"/>
    </xf>
    <xf numFmtId="0" fontId="7" fillId="6" borderId="9" xfId="0" applyFont="1" applyFill="1" applyBorder="1"/>
    <xf numFmtId="0" fontId="8" fillId="6" borderId="9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horizontal="center" vertical="center"/>
    </xf>
    <xf numFmtId="0" fontId="9" fillId="6" borderId="10" xfId="0" applyFont="1" applyFill="1" applyBorder="1" applyAlignment="1">
      <alignment horizontal="left" vertical="center" wrapText="1"/>
    </xf>
    <xf numFmtId="0" fontId="7" fillId="2" borderId="11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left" vertical="center" wrapText="1"/>
    </xf>
    <xf numFmtId="0" fontId="10" fillId="2" borderId="11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left" vertical="center"/>
    </xf>
    <xf numFmtId="0" fontId="5" fillId="2" borderId="11" xfId="0" applyFont="1" applyFill="1" applyBorder="1" applyAlignment="1">
      <alignment horizontal="center" vertical="center"/>
    </xf>
    <xf numFmtId="14" fontId="5" fillId="2" borderId="11" xfId="0" applyNumberFormat="1" applyFont="1" applyFill="1" applyBorder="1" applyAlignment="1">
      <alignment horizontal="center" vertical="center"/>
    </xf>
    <xf numFmtId="1" fontId="5" fillId="2" borderId="11" xfId="0" applyNumberFormat="1" applyFont="1" applyFill="1" applyBorder="1" applyAlignment="1">
      <alignment horizontal="center" vertical="center"/>
    </xf>
    <xf numFmtId="0" fontId="11" fillId="2" borderId="11" xfId="0" applyFont="1" applyFill="1" applyBorder="1" applyAlignment="1">
      <alignment horizontal="left" vertical="center" wrapText="1"/>
    </xf>
    <xf numFmtId="0" fontId="7" fillId="8" borderId="11" xfId="0" applyFont="1" applyFill="1" applyBorder="1" applyAlignment="1">
      <alignment horizontal="center" vertical="center"/>
    </xf>
    <xf numFmtId="0" fontId="5" fillId="8" borderId="11" xfId="0" applyFont="1" applyFill="1" applyBorder="1" applyAlignment="1">
      <alignment horizontal="left" vertical="center" wrapText="1"/>
    </xf>
    <xf numFmtId="0" fontId="12" fillId="8" borderId="11" xfId="0" applyFont="1" applyFill="1" applyBorder="1" applyAlignment="1">
      <alignment horizontal="center" vertical="center"/>
    </xf>
    <xf numFmtId="0" fontId="5" fillId="8" borderId="11" xfId="0" applyFont="1" applyFill="1" applyBorder="1" applyAlignment="1">
      <alignment horizontal="left" vertical="center"/>
    </xf>
    <xf numFmtId="0" fontId="5" fillId="8" borderId="11" xfId="0" applyFont="1" applyFill="1" applyBorder="1" applyAlignment="1">
      <alignment horizontal="center" vertical="center"/>
    </xf>
    <xf numFmtId="14" fontId="5" fillId="8" borderId="11" xfId="0" applyNumberFormat="1" applyFont="1" applyFill="1" applyBorder="1" applyAlignment="1">
      <alignment horizontal="center" vertical="center"/>
    </xf>
    <xf numFmtId="1" fontId="5" fillId="8" borderId="11" xfId="0" applyNumberFormat="1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left" vertical="center" wrapText="1"/>
    </xf>
    <xf numFmtId="0" fontId="12" fillId="2" borderId="11" xfId="0" applyFont="1" applyFill="1" applyBorder="1" applyAlignment="1">
      <alignment horizontal="center" vertical="center"/>
    </xf>
    <xf numFmtId="0" fontId="13" fillId="8" borderId="11" xfId="0" applyFont="1" applyFill="1" applyBorder="1" applyAlignment="1">
      <alignment horizontal="center" vertical="center"/>
    </xf>
    <xf numFmtId="0" fontId="10" fillId="8" borderId="11" xfId="0" applyFont="1" applyFill="1" applyBorder="1" applyAlignment="1">
      <alignment horizontal="center" vertical="center"/>
    </xf>
    <xf numFmtId="0" fontId="13" fillId="2" borderId="11" xfId="0" applyFont="1" applyFill="1" applyBorder="1" applyAlignment="1">
      <alignment horizontal="center" vertical="center"/>
    </xf>
    <xf numFmtId="0" fontId="7" fillId="9" borderId="11" xfId="0" applyFont="1" applyFill="1" applyBorder="1" applyAlignment="1">
      <alignment horizontal="center" vertical="center"/>
    </xf>
    <xf numFmtId="0" fontId="5" fillId="9" borderId="11" xfId="0" applyFont="1" applyFill="1" applyBorder="1" applyAlignment="1">
      <alignment horizontal="left" vertical="center" wrapText="1"/>
    </xf>
    <xf numFmtId="0" fontId="10" fillId="9" borderId="11" xfId="0" applyFont="1" applyFill="1" applyBorder="1" applyAlignment="1">
      <alignment horizontal="center" vertical="center"/>
    </xf>
    <xf numFmtId="0" fontId="5" fillId="9" borderId="11" xfId="0" applyFont="1" applyFill="1" applyBorder="1" applyAlignment="1">
      <alignment horizontal="left" vertical="center"/>
    </xf>
    <xf numFmtId="0" fontId="5" fillId="9" borderId="11" xfId="0" applyFont="1" applyFill="1" applyBorder="1" applyAlignment="1">
      <alignment horizontal="center" vertical="center"/>
    </xf>
    <xf numFmtId="14" fontId="5" fillId="9" borderId="11" xfId="0" applyNumberFormat="1" applyFont="1" applyFill="1" applyBorder="1" applyAlignment="1">
      <alignment horizontal="center" vertical="center"/>
    </xf>
    <xf numFmtId="1" fontId="5" fillId="9" borderId="11" xfId="0" applyNumberFormat="1" applyFont="1" applyFill="1" applyBorder="1" applyAlignment="1">
      <alignment horizontal="center" vertical="center"/>
    </xf>
    <xf numFmtId="0" fontId="11" fillId="9" borderId="11" xfId="0" applyFont="1" applyFill="1" applyBorder="1" applyAlignment="1">
      <alignment horizontal="left" vertical="center" wrapText="1"/>
    </xf>
    <xf numFmtId="0" fontId="14" fillId="0" borderId="0" xfId="0" applyFont="1" applyBorder="1" applyAlignment="1">
      <alignment horizontal="left" vertical="center"/>
    </xf>
    <xf numFmtId="0" fontId="5" fillId="7" borderId="11" xfId="0" applyFont="1" applyFill="1" applyBorder="1" applyAlignment="1">
      <alignment horizontal="left" vertical="center"/>
    </xf>
    <xf numFmtId="0" fontId="5" fillId="10" borderId="11" xfId="0" applyFont="1" applyFill="1" applyBorder="1" applyAlignment="1">
      <alignment horizontal="left" vertical="center"/>
    </xf>
    <xf numFmtId="0" fontId="5" fillId="11" borderId="11" xfId="0" applyFont="1" applyFill="1" applyBorder="1" applyAlignment="1">
      <alignment horizontal="left" vertical="center"/>
    </xf>
    <xf numFmtId="0" fontId="5" fillId="12" borderId="11" xfId="0" applyFont="1" applyFill="1" applyBorder="1" applyAlignment="1">
      <alignment horizontal="left" vertical="center"/>
    </xf>
    <xf numFmtId="0" fontId="5" fillId="13" borderId="11" xfId="0" applyFont="1" applyFill="1" applyBorder="1" applyAlignment="1">
      <alignment horizontal="left" vertical="center"/>
    </xf>
    <xf numFmtId="0" fontId="5" fillId="2" borderId="11" xfId="0" applyFont="1" applyFill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center" vertical="center" wrapText="1"/>
    </xf>
    <xf numFmtId="0" fontId="5" fillId="14" borderId="11" xfId="0" applyFont="1" applyFill="1" applyBorder="1" applyAlignment="1">
      <alignment horizontal="center" vertical="center" wrapText="1"/>
    </xf>
    <xf numFmtId="0" fontId="5" fillId="14" borderId="11" xfId="0" applyFont="1" applyFill="1" applyBorder="1" applyAlignment="1">
      <alignment horizontal="left" vertical="center" wrapText="1"/>
    </xf>
    <xf numFmtId="0" fontId="10" fillId="14" borderId="11" xfId="0" applyFont="1" applyFill="1" applyBorder="1" applyAlignment="1">
      <alignment horizontal="center" vertical="center" wrapText="1"/>
    </xf>
    <xf numFmtId="0" fontId="12" fillId="14" borderId="11" xfId="0" applyFont="1" applyFill="1" applyBorder="1" applyAlignment="1">
      <alignment horizontal="center" vertical="center" wrapText="1"/>
    </xf>
    <xf numFmtId="0" fontId="12" fillId="2" borderId="11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16" fillId="9" borderId="11" xfId="0" applyFont="1" applyFill="1" applyBorder="1" applyAlignment="1">
      <alignment horizontal="center" vertical="center" wrapText="1"/>
    </xf>
    <xf numFmtId="0" fontId="17" fillId="8" borderId="11" xfId="0" applyFont="1" applyFill="1" applyBorder="1" applyAlignment="1">
      <alignment horizontal="center" vertical="center" wrapText="1"/>
    </xf>
    <xf numFmtId="0" fontId="17" fillId="8" borderId="11" xfId="0" applyFont="1" applyFill="1" applyBorder="1" applyAlignment="1">
      <alignment horizontal="left" vertical="center" wrapText="1"/>
    </xf>
    <xf numFmtId="9" fontId="4" fillId="2" borderId="6" xfId="0" applyNumberFormat="1" applyFont="1" applyFill="1" applyBorder="1" applyAlignment="1">
      <alignment horizontal="left" vertical="center" wrapText="1"/>
    </xf>
    <xf numFmtId="0" fontId="0" fillId="0" borderId="1" xfId="0"/>
    <xf numFmtId="0" fontId="4" fillId="6" borderId="9" xfId="0" applyFont="1" applyFill="1" applyBorder="1" applyAlignment="1">
      <alignment horizontal="left" vertical="center" wrapText="1"/>
    </xf>
    <xf numFmtId="0" fontId="7" fillId="6" borderId="9" xfId="0" applyFont="1" applyFill="1" applyBorder="1" applyAlignment="1">
      <alignment wrapText="1"/>
    </xf>
    <xf numFmtId="0" fontId="8" fillId="6" borderId="9" xfId="0" applyFont="1" applyFill="1" applyBorder="1" applyAlignment="1">
      <alignment horizontal="left" vertical="center" wrapText="1"/>
    </xf>
    <xf numFmtId="0" fontId="5" fillId="6" borderId="9" xfId="0" applyFont="1" applyFill="1" applyBorder="1" applyAlignment="1">
      <alignment horizontal="center" vertical="center" wrapText="1"/>
    </xf>
    <xf numFmtId="14" fontId="5" fillId="2" borderId="11" xfId="0" applyNumberFormat="1" applyFont="1" applyFill="1" applyBorder="1" applyAlignment="1">
      <alignment horizontal="center" vertical="center" wrapText="1"/>
    </xf>
    <xf numFmtId="1" fontId="5" fillId="2" borderId="11" xfId="0" applyNumberFormat="1" applyFont="1" applyFill="1" applyBorder="1" applyAlignment="1">
      <alignment horizontal="center" vertical="center" wrapText="1"/>
    </xf>
    <xf numFmtId="0" fontId="10" fillId="8" borderId="11" xfId="0" applyFont="1" applyFill="1" applyBorder="1" applyAlignment="1">
      <alignment horizontal="center" vertical="center" wrapText="1"/>
    </xf>
    <xf numFmtId="0" fontId="5" fillId="8" borderId="11" xfId="0" applyFont="1" applyFill="1" applyBorder="1" applyAlignment="1">
      <alignment horizontal="center" vertical="center" wrapText="1"/>
    </xf>
    <xf numFmtId="14" fontId="5" fillId="8" borderId="11" xfId="0" applyNumberFormat="1" applyFont="1" applyFill="1" applyBorder="1" applyAlignment="1">
      <alignment horizontal="center" vertical="center" wrapText="1"/>
    </xf>
    <xf numFmtId="1" fontId="5" fillId="8" borderId="11" xfId="0" applyNumberFormat="1" applyFont="1" applyFill="1" applyBorder="1" applyAlignment="1">
      <alignment horizontal="center" vertical="center" wrapText="1"/>
    </xf>
    <xf numFmtId="0" fontId="10" fillId="9" borderId="11" xfId="0" applyFont="1" applyFill="1" applyBorder="1" applyAlignment="1">
      <alignment horizontal="center" vertical="center" wrapText="1"/>
    </xf>
    <xf numFmtId="14" fontId="5" fillId="9" borderId="11" xfId="0" applyNumberFormat="1" applyFont="1" applyFill="1" applyBorder="1" applyAlignment="1">
      <alignment horizontal="center" vertical="center" wrapText="1"/>
    </xf>
    <xf numFmtId="1" fontId="5" fillId="9" borderId="11" xfId="0" applyNumberFormat="1" applyFont="1" applyFill="1" applyBorder="1" applyAlignment="1">
      <alignment horizontal="center" vertical="center" wrapText="1"/>
    </xf>
    <xf numFmtId="0" fontId="12" fillId="8" borderId="11" xfId="0" applyFont="1" applyFill="1" applyBorder="1" applyAlignment="1">
      <alignment horizontal="center" vertical="center" wrapText="1"/>
    </xf>
    <xf numFmtId="0" fontId="11" fillId="15" borderId="11" xfId="0" applyFont="1" applyFill="1" applyBorder="1" applyAlignment="1">
      <alignment horizontal="left" vertical="center" wrapText="1"/>
    </xf>
    <xf numFmtId="0" fontId="5" fillId="16" borderId="11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center" wrapText="1"/>
    </xf>
    <xf numFmtId="0" fontId="0" fillId="17" borderId="0" xfId="0" applyFill="1" applyBorder="1"/>
    <xf numFmtId="0" fontId="18" fillId="2" borderId="11" xfId="0" applyFont="1" applyFill="1" applyBorder="1" applyAlignment="1">
      <alignment horizontal="left" vertical="center" wrapText="1"/>
    </xf>
    <xf numFmtId="0" fontId="19" fillId="0" borderId="0" xfId="0" applyFont="1" applyBorder="1" applyAlignment="1">
      <alignment wrapText="1"/>
    </xf>
    <xf numFmtId="0" fontId="20" fillId="8" borderId="11" xfId="0" applyFont="1" applyFill="1" applyBorder="1" applyAlignment="1">
      <alignment horizontal="left" vertical="center" wrapText="1"/>
    </xf>
    <xf numFmtId="0" fontId="20" fillId="2" borderId="11" xfId="0" applyFont="1" applyFill="1" applyBorder="1" applyAlignment="1">
      <alignment horizontal="left" vertical="center" wrapText="1"/>
    </xf>
    <xf numFmtId="0" fontId="20" fillId="2" borderId="11" xfId="0" applyFont="1" applyFill="1" applyBorder="1" applyAlignment="1">
      <alignment horizontal="left" vertical="center"/>
    </xf>
    <xf numFmtId="0" fontId="20" fillId="8" borderId="11" xfId="0" applyFont="1" applyFill="1" applyBorder="1" applyAlignment="1">
      <alignment horizontal="left" vertical="center"/>
    </xf>
    <xf numFmtId="0" fontId="7" fillId="18" borderId="11" xfId="0" applyFont="1" applyFill="1" applyBorder="1" applyAlignment="1">
      <alignment horizontal="center" vertical="center"/>
    </xf>
    <xf numFmtId="0" fontId="20" fillId="18" borderId="11" xfId="0" applyFont="1" applyFill="1" applyBorder="1" applyAlignment="1">
      <alignment horizontal="left" vertical="center" wrapText="1"/>
    </xf>
    <xf numFmtId="0" fontId="13" fillId="18" borderId="11" xfId="0" applyFont="1" applyFill="1" applyBorder="1" applyAlignment="1">
      <alignment horizontal="center" vertical="center"/>
    </xf>
    <xf numFmtId="0" fontId="5" fillId="18" borderId="11" xfId="0" applyFont="1" applyFill="1" applyBorder="1" applyAlignment="1">
      <alignment horizontal="left" vertical="center"/>
    </xf>
    <xf numFmtId="0" fontId="5" fillId="18" borderId="11" xfId="0" applyFont="1" applyFill="1" applyBorder="1" applyAlignment="1">
      <alignment horizontal="center" vertical="center"/>
    </xf>
    <xf numFmtId="14" fontId="5" fillId="18" borderId="11" xfId="0" applyNumberFormat="1" applyFont="1" applyFill="1" applyBorder="1" applyAlignment="1">
      <alignment horizontal="center" vertical="center"/>
    </xf>
    <xf numFmtId="1" fontId="5" fillId="18" borderId="11" xfId="0" applyNumberFormat="1" applyFont="1" applyFill="1" applyBorder="1" applyAlignment="1">
      <alignment horizontal="center" vertical="center"/>
    </xf>
    <xf numFmtId="0" fontId="18" fillId="18" borderId="11" xfId="0" applyFont="1" applyFill="1" applyBorder="1" applyAlignment="1">
      <alignment horizontal="left" vertical="center" wrapText="1"/>
    </xf>
    <xf numFmtId="0" fontId="18" fillId="8" borderId="11" xfId="0" applyFont="1" applyFill="1" applyBorder="1" applyAlignment="1">
      <alignment horizontal="left" vertical="center" wrapText="1"/>
    </xf>
    <xf numFmtId="0" fontId="7" fillId="19" borderId="11" xfId="0" applyFont="1" applyFill="1" applyBorder="1" applyAlignment="1">
      <alignment horizontal="center" vertical="center"/>
    </xf>
    <xf numFmtId="0" fontId="5" fillId="19" borderId="11" xfId="0" applyFont="1" applyFill="1" applyBorder="1" applyAlignment="1">
      <alignment horizontal="left" vertical="center" wrapText="1"/>
    </xf>
    <xf numFmtId="0" fontId="13" fillId="19" borderId="11" xfId="0" applyFont="1" applyFill="1" applyBorder="1" applyAlignment="1">
      <alignment horizontal="center" vertical="center" wrapText="1"/>
    </xf>
    <xf numFmtId="0" fontId="5" fillId="19" borderId="11" xfId="0" applyFont="1" applyFill="1" applyBorder="1" applyAlignment="1">
      <alignment horizontal="center" vertical="center" wrapText="1"/>
    </xf>
    <xf numFmtId="14" fontId="5" fillId="19" borderId="11" xfId="0" applyNumberFormat="1" applyFont="1" applyFill="1" applyBorder="1" applyAlignment="1">
      <alignment horizontal="center" vertical="center" wrapText="1"/>
    </xf>
    <xf numFmtId="1" fontId="5" fillId="19" borderId="11" xfId="0" applyNumberFormat="1" applyFont="1" applyFill="1" applyBorder="1" applyAlignment="1">
      <alignment horizontal="center" vertical="center" wrapText="1"/>
    </xf>
    <xf numFmtId="0" fontId="11" fillId="19" borderId="11" xfId="0" applyFont="1" applyFill="1" applyBorder="1" applyAlignment="1">
      <alignment horizontal="left" vertical="center" wrapText="1"/>
    </xf>
    <xf numFmtId="0" fontId="5" fillId="4" borderId="12" xfId="0" applyFont="1" applyFill="1" applyBorder="1" applyAlignment="1">
      <alignment horizontal="left" vertical="top" wrapText="1"/>
    </xf>
    <xf numFmtId="0" fontId="0" fillId="0" borderId="5" xfId="0" applyBorder="1"/>
    <xf numFmtId="0" fontId="2" fillId="3" borderId="2" xfId="0" applyFont="1" applyFill="1" applyBorder="1" applyAlignment="1">
      <alignment horizontal="left" vertical="center"/>
    </xf>
    <xf numFmtId="0" fontId="0" fillId="0" borderId="3" xfId="0" applyBorder="1"/>
    <xf numFmtId="0" fontId="1" fillId="2" borderId="1" xfId="0" applyFont="1" applyFill="1" applyAlignment="1">
      <alignment horizontal="left" vertical="center"/>
    </xf>
    <xf numFmtId="0" fontId="0" fillId="0" borderId="0" xfId="0" applyBorder="1"/>
    <xf numFmtId="0" fontId="3" fillId="2" borderId="6" xfId="0" applyFont="1" applyFill="1" applyBorder="1" applyAlignment="1">
      <alignment horizontal="left" vertical="center"/>
    </xf>
    <xf numFmtId="0" fontId="0" fillId="0" borderId="4" xfId="0" applyBorder="1"/>
    <xf numFmtId="0" fontId="15" fillId="2" borderId="1" xfId="0" applyFont="1" applyFill="1" applyAlignment="1">
      <alignment horizontal="left" vertical="center"/>
    </xf>
    <xf numFmtId="0" fontId="9" fillId="0" borderId="1" xfId="0" applyFont="1" applyAlignment="1">
      <alignment horizontal="left" vertical="center"/>
    </xf>
  </cellXfs>
  <cellStyles count="1">
    <cellStyle name="Bình thường" xfId="0" builtinId="0"/>
  </cellStyles>
  <dxfs count="0"/>
  <tableStyles count="0" defaultTableStyle="TableStyleMedium2" defaultPivotStyle="PivotStyleLight16"/>
  <colors>
    <mruColors>
      <color rgb="FF404040"/>
      <color rgb="FFD9D9D9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655DDF5-B1A8-41E5-BC89-AB17A4656B0B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058e744e-dad9-4a9c-a11e-46cc9bba6fd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7"/>
  <sheetViews>
    <sheetView tabSelected="1" topLeftCell="A30" workbookViewId="0">
      <selection activeCell="L37" sqref="L37"/>
    </sheetView>
  </sheetViews>
  <sheetFormatPr defaultColWidth="14.44140625" defaultRowHeight="15" customHeight="1" x14ac:dyDescent="0.3"/>
  <cols>
    <col min="1" max="1" width="3.44140625" customWidth="1"/>
    <col min="2" max="2" width="7.44140625" customWidth="1"/>
    <col min="3" max="3" width="26" customWidth="1"/>
    <col min="4" max="4" width="25.77734375" customWidth="1"/>
    <col min="5" max="5" width="20" customWidth="1"/>
    <col min="6" max="6" width="12.109375" customWidth="1"/>
    <col min="7" max="8" width="11" customWidth="1"/>
    <col min="9" max="9" width="13" customWidth="1"/>
    <col min="10" max="10" width="15" customWidth="1"/>
    <col min="11" max="11" width="52" customWidth="1"/>
    <col min="12" max="26" width="8.6640625" customWidth="1"/>
  </cols>
  <sheetData>
    <row r="1" spans="2:11" ht="45" customHeight="1" x14ac:dyDescent="0.3">
      <c r="B1" s="101" t="s">
        <v>0</v>
      </c>
      <c r="C1" s="102"/>
      <c r="D1" s="102"/>
      <c r="E1" s="102"/>
      <c r="F1" s="102"/>
      <c r="G1" s="102"/>
      <c r="H1" s="102"/>
      <c r="I1" s="102"/>
      <c r="J1" s="102"/>
      <c r="K1" s="102"/>
    </row>
    <row r="2" spans="2:11" ht="51" customHeight="1" x14ac:dyDescent="0.3">
      <c r="C2" s="1" t="s">
        <v>1</v>
      </c>
      <c r="D2" s="73" t="s">
        <v>197</v>
      </c>
      <c r="E2" s="1" t="s">
        <v>199</v>
      </c>
      <c r="F2" s="1" t="s">
        <v>198</v>
      </c>
      <c r="G2" s="74"/>
      <c r="H2" s="1" t="s">
        <v>2</v>
      </c>
      <c r="J2" s="99" t="s">
        <v>3</v>
      </c>
      <c r="K2" s="100"/>
    </row>
    <row r="3" spans="2:11" ht="60" customHeight="1" x14ac:dyDescent="0.3">
      <c r="C3" s="103" t="s">
        <v>4</v>
      </c>
      <c r="D3" s="104"/>
      <c r="E3" s="104"/>
      <c r="F3" s="104"/>
      <c r="G3" s="98"/>
      <c r="H3" s="54">
        <v>1</v>
      </c>
      <c r="J3" s="97" t="s">
        <v>5</v>
      </c>
      <c r="K3" s="98"/>
    </row>
    <row r="4" spans="2:11" ht="9.75" customHeight="1" x14ac:dyDescent="0.3"/>
    <row r="5" spans="2:11" ht="31.5" customHeight="1" x14ac:dyDescent="0.3">
      <c r="B5" s="2" t="s">
        <v>6</v>
      </c>
      <c r="C5" s="2" t="s">
        <v>7</v>
      </c>
      <c r="D5" s="2" t="s">
        <v>8</v>
      </c>
      <c r="E5" s="2" t="s">
        <v>9</v>
      </c>
      <c r="F5" s="2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</row>
    <row r="6" spans="2:11" ht="30" customHeight="1" x14ac:dyDescent="0.3">
      <c r="B6" s="3"/>
      <c r="C6" s="4" t="s">
        <v>16</v>
      </c>
      <c r="D6" s="5"/>
      <c r="E6" s="6" t="s">
        <v>17</v>
      </c>
      <c r="F6" s="5"/>
      <c r="G6" s="5"/>
      <c r="H6" s="5"/>
      <c r="I6" s="5"/>
      <c r="J6" s="7" t="s">
        <v>18</v>
      </c>
      <c r="K6" s="8" t="s">
        <v>19</v>
      </c>
    </row>
    <row r="7" spans="2:11" ht="30" customHeight="1" x14ac:dyDescent="0.3">
      <c r="B7" s="9"/>
      <c r="C7" s="10" t="s">
        <v>20</v>
      </c>
      <c r="D7" s="11" t="s">
        <v>21</v>
      </c>
      <c r="E7" s="12" t="s">
        <v>22</v>
      </c>
      <c r="F7" s="13"/>
      <c r="G7" s="14"/>
      <c r="H7" s="14"/>
      <c r="I7" s="15" t="str">
        <f>IF(AND(G7&lt;&gt;"",H7&lt;&gt;""),H7-G7,"")</f>
        <v/>
      </c>
      <c r="J7" s="71" t="s">
        <v>18</v>
      </c>
      <c r="K7" s="16" t="s">
        <v>23</v>
      </c>
    </row>
    <row r="8" spans="2:11" ht="30" customHeight="1" x14ac:dyDescent="0.3">
      <c r="B8" s="17"/>
      <c r="C8" s="18" t="s">
        <v>24</v>
      </c>
      <c r="D8" s="19" t="s">
        <v>25</v>
      </c>
      <c r="E8" s="80" t="s">
        <v>31</v>
      </c>
      <c r="F8" s="21"/>
      <c r="G8" s="22"/>
      <c r="H8" s="22"/>
      <c r="I8" s="23" t="str">
        <f>IF(AND(G8&lt;&gt;"",H8&lt;&gt;""),H8-G8,"")</f>
        <v/>
      </c>
      <c r="J8" s="71" t="s">
        <v>18</v>
      </c>
      <c r="K8" s="24" t="s">
        <v>26</v>
      </c>
    </row>
    <row r="9" spans="2:11" ht="30" customHeight="1" x14ac:dyDescent="0.3">
      <c r="B9" s="9"/>
      <c r="C9" s="10" t="s">
        <v>27</v>
      </c>
      <c r="D9" s="25" t="s">
        <v>25</v>
      </c>
      <c r="E9" s="12" t="s">
        <v>22</v>
      </c>
      <c r="F9" s="13"/>
      <c r="G9" s="14"/>
      <c r="H9" s="14"/>
      <c r="I9" s="15" t="str">
        <f>IF(AND(G9&lt;&gt;"",H9&lt;&gt;""),H9-G9,"")</f>
        <v/>
      </c>
      <c r="J9" s="71" t="s">
        <v>18</v>
      </c>
      <c r="K9" s="16" t="s">
        <v>28</v>
      </c>
    </row>
    <row r="10" spans="2:11" ht="30" customHeight="1" x14ac:dyDescent="0.3">
      <c r="B10" s="17"/>
      <c r="C10" s="18" t="s">
        <v>29</v>
      </c>
      <c r="D10" s="26" t="s">
        <v>30</v>
      </c>
      <c r="E10" s="80" t="s">
        <v>31</v>
      </c>
      <c r="F10" s="21"/>
      <c r="G10" s="22"/>
      <c r="H10" s="22"/>
      <c r="I10" s="23" t="str">
        <f>IF(AND(G10&lt;&gt;"",H10&lt;&gt;""),H10-G10,"")</f>
        <v/>
      </c>
      <c r="J10" s="71" t="s">
        <v>18</v>
      </c>
      <c r="K10" s="24" t="s">
        <v>32</v>
      </c>
    </row>
    <row r="11" spans="2:11" ht="9.75" customHeight="1" x14ac:dyDescent="0.3"/>
    <row r="12" spans="2:11" ht="30" customHeight="1" x14ac:dyDescent="0.3">
      <c r="B12" s="3"/>
      <c r="C12" s="4" t="s">
        <v>33</v>
      </c>
      <c r="D12" s="5"/>
      <c r="E12" s="6" t="s">
        <v>22</v>
      </c>
      <c r="F12" s="5"/>
      <c r="G12" s="5"/>
      <c r="H12" s="5"/>
      <c r="I12" s="5"/>
      <c r="J12" s="7" t="s">
        <v>18</v>
      </c>
      <c r="K12" s="8" t="s">
        <v>34</v>
      </c>
    </row>
    <row r="13" spans="2:11" ht="30" customHeight="1" x14ac:dyDescent="0.3">
      <c r="B13" s="9"/>
      <c r="C13" s="10" t="s">
        <v>35</v>
      </c>
      <c r="D13" s="11" t="s">
        <v>21</v>
      </c>
      <c r="E13" s="12" t="s">
        <v>200</v>
      </c>
      <c r="F13" s="13"/>
      <c r="G13" s="14"/>
      <c r="H13" s="14"/>
      <c r="I13" s="15" t="str">
        <f t="shared" ref="I13:I19" si="0">IF(AND(G13&lt;&gt;"",H13&lt;&gt;""),H13-G13,"")</f>
        <v/>
      </c>
      <c r="J13" s="71" t="s">
        <v>18</v>
      </c>
      <c r="K13" s="16" t="s">
        <v>36</v>
      </c>
    </row>
    <row r="14" spans="2:11" ht="30" customHeight="1" x14ac:dyDescent="0.3">
      <c r="B14" s="17"/>
      <c r="C14" s="18" t="s">
        <v>37</v>
      </c>
      <c r="D14" s="27" t="s">
        <v>21</v>
      </c>
      <c r="E14" s="20" t="s">
        <v>203</v>
      </c>
      <c r="F14" s="21"/>
      <c r="G14" s="22"/>
      <c r="H14" s="22"/>
      <c r="I14" s="23" t="str">
        <f t="shared" si="0"/>
        <v/>
      </c>
      <c r="J14" s="71" t="s">
        <v>18</v>
      </c>
      <c r="K14" s="24" t="s">
        <v>38</v>
      </c>
    </row>
    <row r="15" spans="2:11" ht="30" customHeight="1" x14ac:dyDescent="0.3">
      <c r="B15" s="9"/>
      <c r="C15" s="10" t="s">
        <v>39</v>
      </c>
      <c r="D15" s="11" t="s">
        <v>21</v>
      </c>
      <c r="E15" s="12" t="s">
        <v>201</v>
      </c>
      <c r="F15" s="13"/>
      <c r="G15" s="14"/>
      <c r="H15" s="14"/>
      <c r="I15" s="15" t="str">
        <f t="shared" si="0"/>
        <v/>
      </c>
      <c r="J15" s="71" t="s">
        <v>18</v>
      </c>
      <c r="K15" s="16" t="s">
        <v>40</v>
      </c>
    </row>
    <row r="16" spans="2:11" ht="30" customHeight="1" x14ac:dyDescent="0.3">
      <c r="B16" s="17"/>
      <c r="C16" s="18" t="s">
        <v>41</v>
      </c>
      <c r="D16" s="27" t="s">
        <v>21</v>
      </c>
      <c r="E16" s="20" t="s">
        <v>202</v>
      </c>
      <c r="F16" s="21"/>
      <c r="G16" s="22"/>
      <c r="H16" s="22"/>
      <c r="I16" s="23" t="str">
        <f t="shared" si="0"/>
        <v/>
      </c>
      <c r="J16" s="71" t="s">
        <v>18</v>
      </c>
      <c r="K16" s="24" t="s">
        <v>42</v>
      </c>
    </row>
    <row r="17" spans="2:11" ht="30" customHeight="1" x14ac:dyDescent="0.3">
      <c r="B17" s="9"/>
      <c r="C17" s="10" t="s">
        <v>43</v>
      </c>
      <c r="D17" s="11" t="s">
        <v>21</v>
      </c>
      <c r="E17" s="12" t="s">
        <v>200</v>
      </c>
      <c r="F17" s="13"/>
      <c r="G17" s="14"/>
      <c r="H17" s="14"/>
      <c r="I17" s="15" t="str">
        <f t="shared" si="0"/>
        <v/>
      </c>
      <c r="J17" s="71" t="s">
        <v>18</v>
      </c>
      <c r="K17" s="16" t="s">
        <v>44</v>
      </c>
    </row>
    <row r="18" spans="2:11" ht="30" customHeight="1" x14ac:dyDescent="0.3">
      <c r="B18" s="17"/>
      <c r="C18" s="18" t="s">
        <v>45</v>
      </c>
      <c r="D18" s="19" t="s">
        <v>25</v>
      </c>
      <c r="E18" s="20" t="s">
        <v>203</v>
      </c>
      <c r="F18" s="21"/>
      <c r="G18" s="22"/>
      <c r="H18" s="22"/>
      <c r="I18" s="23" t="str">
        <f t="shared" si="0"/>
        <v/>
      </c>
      <c r="J18" s="71" t="s">
        <v>18</v>
      </c>
      <c r="K18" s="24" t="s">
        <v>46</v>
      </c>
    </row>
    <row r="19" spans="2:11" ht="30" customHeight="1" x14ac:dyDescent="0.3">
      <c r="B19" s="9"/>
      <c r="C19" s="10" t="s">
        <v>47</v>
      </c>
      <c r="D19" s="28" t="s">
        <v>30</v>
      </c>
      <c r="E19" s="12" t="s">
        <v>31</v>
      </c>
      <c r="F19" s="13"/>
      <c r="G19" s="14"/>
      <c r="H19" s="14"/>
      <c r="I19" s="15" t="str">
        <f t="shared" si="0"/>
        <v/>
      </c>
      <c r="J19" s="71" t="s">
        <v>18</v>
      </c>
      <c r="K19" s="16" t="s">
        <v>48</v>
      </c>
    </row>
    <row r="20" spans="2:11" ht="9.75" customHeight="1" thickBot="1" x14ac:dyDescent="0.35"/>
    <row r="21" spans="2:11" ht="30" customHeight="1" x14ac:dyDescent="0.3">
      <c r="B21" s="3"/>
      <c r="C21" s="4" t="s">
        <v>49</v>
      </c>
      <c r="D21" s="5"/>
      <c r="E21" s="6" t="s">
        <v>22</v>
      </c>
      <c r="F21" s="5"/>
      <c r="G21" s="5"/>
      <c r="H21" s="5"/>
      <c r="I21" s="5"/>
      <c r="J21" s="7" t="s">
        <v>18</v>
      </c>
      <c r="K21" s="8" t="s">
        <v>50</v>
      </c>
    </row>
    <row r="22" spans="2:11" ht="30" customHeight="1" x14ac:dyDescent="0.3">
      <c r="B22" s="9"/>
      <c r="C22" s="10" t="s">
        <v>51</v>
      </c>
      <c r="D22" s="11" t="s">
        <v>21</v>
      </c>
      <c r="E22" s="12" t="s">
        <v>200</v>
      </c>
      <c r="F22" s="13"/>
      <c r="G22" s="14"/>
      <c r="H22" s="14"/>
      <c r="I22" s="15" t="str">
        <f t="shared" ref="I22:I32" si="1">IF(AND(G22&lt;&gt;"",H22&lt;&gt;""),H22-G22,"")</f>
        <v/>
      </c>
      <c r="J22" s="71" t="s">
        <v>18</v>
      </c>
      <c r="K22" s="16" t="s">
        <v>52</v>
      </c>
    </row>
    <row r="23" spans="2:11" ht="30" customHeight="1" x14ac:dyDescent="0.3">
      <c r="B23" s="17"/>
      <c r="C23" s="18" t="s">
        <v>53</v>
      </c>
      <c r="D23" s="27" t="s">
        <v>21</v>
      </c>
      <c r="E23" s="20" t="s">
        <v>202</v>
      </c>
      <c r="F23" s="21"/>
      <c r="G23" s="22"/>
      <c r="H23" s="22"/>
      <c r="I23" s="23" t="str">
        <f t="shared" si="1"/>
        <v/>
      </c>
      <c r="J23" s="71" t="s">
        <v>18</v>
      </c>
      <c r="K23" s="24" t="s">
        <v>54</v>
      </c>
    </row>
    <row r="24" spans="2:11" ht="30" customHeight="1" x14ac:dyDescent="0.3">
      <c r="B24" s="9"/>
      <c r="C24" s="10" t="s">
        <v>55</v>
      </c>
      <c r="D24" s="11" t="s">
        <v>21</v>
      </c>
      <c r="E24" s="79" t="s">
        <v>203</v>
      </c>
      <c r="F24" s="13"/>
      <c r="G24" s="14"/>
      <c r="H24" s="14"/>
      <c r="I24" s="15" t="str">
        <f t="shared" si="1"/>
        <v/>
      </c>
      <c r="J24" s="71" t="s">
        <v>18</v>
      </c>
      <c r="K24" s="16" t="s">
        <v>56</v>
      </c>
    </row>
    <row r="25" spans="2:11" ht="30" customHeight="1" x14ac:dyDescent="0.3">
      <c r="B25" s="17"/>
      <c r="C25" s="77" t="s">
        <v>57</v>
      </c>
      <c r="D25" s="19" t="s">
        <v>25</v>
      </c>
      <c r="E25" s="20" t="s">
        <v>201</v>
      </c>
      <c r="F25" s="21"/>
      <c r="G25" s="22"/>
      <c r="H25" s="22"/>
      <c r="I25" s="23" t="str">
        <f t="shared" si="1"/>
        <v/>
      </c>
      <c r="J25" s="71" t="s">
        <v>18</v>
      </c>
      <c r="K25" s="89" t="s">
        <v>207</v>
      </c>
    </row>
    <row r="26" spans="2:11" ht="30" customHeight="1" x14ac:dyDescent="0.3">
      <c r="B26" s="29"/>
      <c r="C26" s="30" t="s">
        <v>58</v>
      </c>
      <c r="D26" s="31" t="s">
        <v>21</v>
      </c>
      <c r="E26" s="32" t="s">
        <v>202</v>
      </c>
      <c r="F26" s="33"/>
      <c r="G26" s="34"/>
      <c r="H26" s="34"/>
      <c r="I26" s="35" t="str">
        <f t="shared" si="1"/>
        <v/>
      </c>
      <c r="J26" s="71" t="s">
        <v>18</v>
      </c>
      <c r="K26" s="36" t="s">
        <v>59</v>
      </c>
    </row>
    <row r="27" spans="2:11" ht="30" customHeight="1" x14ac:dyDescent="0.3">
      <c r="B27" s="17"/>
      <c r="C27" s="18" t="s">
        <v>60</v>
      </c>
      <c r="D27" s="27" t="s">
        <v>21</v>
      </c>
      <c r="E27" s="80" t="s">
        <v>203</v>
      </c>
      <c r="F27" s="21"/>
      <c r="G27" s="22"/>
      <c r="H27" s="22"/>
      <c r="I27" s="23" t="str">
        <f t="shared" si="1"/>
        <v/>
      </c>
      <c r="J27" s="71" t="s">
        <v>18</v>
      </c>
      <c r="K27" s="24" t="s">
        <v>61</v>
      </c>
    </row>
    <row r="28" spans="2:11" ht="30" customHeight="1" x14ac:dyDescent="0.3">
      <c r="B28" s="29"/>
      <c r="C28" s="30" t="s">
        <v>62</v>
      </c>
      <c r="D28" s="31" t="s">
        <v>21</v>
      </c>
      <c r="E28" s="32" t="s">
        <v>200</v>
      </c>
      <c r="F28" s="33"/>
      <c r="G28" s="34"/>
      <c r="H28" s="34"/>
      <c r="I28" s="35" t="str">
        <f t="shared" si="1"/>
        <v/>
      </c>
      <c r="J28" s="71" t="s">
        <v>18</v>
      </c>
      <c r="K28" s="36" t="s">
        <v>63</v>
      </c>
    </row>
    <row r="29" spans="2:11" ht="30" customHeight="1" x14ac:dyDescent="0.3">
      <c r="B29" s="17"/>
      <c r="C29" s="18" t="s">
        <v>64</v>
      </c>
      <c r="D29" s="19" t="s">
        <v>25</v>
      </c>
      <c r="E29" s="20" t="s">
        <v>203</v>
      </c>
      <c r="F29" s="21"/>
      <c r="G29" s="22"/>
      <c r="H29" s="22"/>
      <c r="I29" s="23" t="str">
        <f t="shared" si="1"/>
        <v/>
      </c>
      <c r="J29" s="71" t="s">
        <v>18</v>
      </c>
      <c r="K29" s="24" t="s">
        <v>65</v>
      </c>
    </row>
    <row r="30" spans="2:11" ht="27.6" x14ac:dyDescent="0.3">
      <c r="B30" s="9"/>
      <c r="C30" s="10" t="s">
        <v>66</v>
      </c>
      <c r="D30" s="44" t="s">
        <v>21</v>
      </c>
      <c r="E30" s="10" t="s">
        <v>201</v>
      </c>
      <c r="F30" s="43"/>
      <c r="G30" s="60"/>
      <c r="H30" s="60"/>
      <c r="I30" s="61" t="str">
        <f t="shared" si="1"/>
        <v/>
      </c>
      <c r="J30" s="72" t="s">
        <v>18</v>
      </c>
      <c r="K30" s="16" t="s">
        <v>175</v>
      </c>
    </row>
    <row r="31" spans="2:11" ht="27.6" x14ac:dyDescent="0.3">
      <c r="B31" s="17"/>
      <c r="C31" s="18" t="s">
        <v>67</v>
      </c>
      <c r="D31" s="62" t="s">
        <v>21</v>
      </c>
      <c r="E31" s="18" t="s">
        <v>202</v>
      </c>
      <c r="F31" s="63"/>
      <c r="G31" s="64"/>
      <c r="H31" s="64"/>
      <c r="I31" s="65" t="str">
        <f t="shared" si="1"/>
        <v/>
      </c>
      <c r="J31" s="72" t="s">
        <v>18</v>
      </c>
      <c r="K31" s="24" t="s">
        <v>176</v>
      </c>
    </row>
    <row r="32" spans="2:11" ht="30" customHeight="1" x14ac:dyDescent="0.3">
      <c r="B32" s="9"/>
      <c r="C32" s="78" t="s">
        <v>204</v>
      </c>
      <c r="D32" s="28" t="s">
        <v>30</v>
      </c>
      <c r="E32" s="12" t="s">
        <v>31</v>
      </c>
      <c r="F32" s="13"/>
      <c r="G32" s="14"/>
      <c r="H32" s="14"/>
      <c r="I32" s="15" t="str">
        <f t="shared" si="1"/>
        <v/>
      </c>
      <c r="J32" s="71" t="s">
        <v>18</v>
      </c>
      <c r="K32" s="16" t="s">
        <v>48</v>
      </c>
    </row>
    <row r="33" spans="1:11" ht="9.75" customHeight="1" thickBot="1" x14ac:dyDescent="0.35"/>
    <row r="34" spans="1:11" ht="29.4" thickBot="1" x14ac:dyDescent="0.35">
      <c r="B34" s="3"/>
      <c r="C34" s="56" t="s">
        <v>69</v>
      </c>
      <c r="D34" s="57"/>
      <c r="E34" s="58" t="s">
        <v>22</v>
      </c>
      <c r="F34" s="57"/>
      <c r="G34" s="57"/>
      <c r="H34" s="57"/>
      <c r="I34" s="57"/>
      <c r="J34" s="59" t="s">
        <v>18</v>
      </c>
      <c r="K34" s="8" t="s">
        <v>71</v>
      </c>
    </row>
    <row r="35" spans="1:11" ht="27.6" x14ac:dyDescent="0.3">
      <c r="B35" s="9"/>
      <c r="C35" s="10" t="s">
        <v>72</v>
      </c>
      <c r="D35" s="44" t="s">
        <v>21</v>
      </c>
      <c r="E35" s="10" t="s">
        <v>201</v>
      </c>
      <c r="F35" s="43"/>
      <c r="G35" s="60"/>
      <c r="H35" s="60"/>
      <c r="I35" s="61" t="str">
        <f t="shared" ref="I35:I36" si="2">IF(AND(G34&lt;&gt;"",H34&lt;&gt;""),H34-G34,"")</f>
        <v/>
      </c>
      <c r="J35" s="72" t="s">
        <v>18</v>
      </c>
      <c r="K35" s="16" t="s">
        <v>73</v>
      </c>
    </row>
    <row r="36" spans="1:11" ht="14.4" x14ac:dyDescent="0.3">
      <c r="B36" s="17"/>
      <c r="C36" s="18" t="s">
        <v>74</v>
      </c>
      <c r="D36" s="62" t="s">
        <v>21</v>
      </c>
      <c r="E36" s="18" t="s">
        <v>201</v>
      </c>
      <c r="F36" s="63"/>
      <c r="G36" s="64"/>
      <c r="H36" s="64"/>
      <c r="I36" s="65" t="str">
        <f t="shared" si="2"/>
        <v/>
      </c>
      <c r="J36" s="72" t="s">
        <v>18</v>
      </c>
      <c r="K36" s="24" t="s">
        <v>75</v>
      </c>
    </row>
    <row r="37" spans="1:11" ht="27.6" x14ac:dyDescent="0.3">
      <c r="B37" s="9"/>
      <c r="C37" s="10" t="s">
        <v>76</v>
      </c>
      <c r="D37" s="44" t="s">
        <v>21</v>
      </c>
      <c r="E37" s="10" t="s">
        <v>200</v>
      </c>
      <c r="F37" s="43"/>
      <c r="G37" s="60"/>
      <c r="H37" s="60"/>
      <c r="I37" s="61"/>
      <c r="J37" s="72" t="s">
        <v>18</v>
      </c>
      <c r="K37" s="16" t="s">
        <v>77</v>
      </c>
    </row>
    <row r="38" spans="1:11" ht="27.6" x14ac:dyDescent="0.3">
      <c r="B38" s="17"/>
      <c r="C38" s="18" t="s">
        <v>78</v>
      </c>
      <c r="D38" s="62" t="s">
        <v>21</v>
      </c>
      <c r="E38" s="18" t="s">
        <v>202</v>
      </c>
      <c r="F38" s="63"/>
      <c r="G38" s="64"/>
      <c r="H38" s="64"/>
      <c r="I38" s="65" t="str">
        <f>IF(AND(G32&lt;&gt;"",H32&lt;&gt;""),H32-G32,"")</f>
        <v/>
      </c>
      <c r="J38" s="72" t="s">
        <v>18</v>
      </c>
      <c r="K38" s="24" t="s">
        <v>177</v>
      </c>
    </row>
    <row r="39" spans="1:11" ht="27.6" x14ac:dyDescent="0.3">
      <c r="B39" s="9"/>
      <c r="C39" s="10" t="s">
        <v>79</v>
      </c>
      <c r="D39" s="44" t="s">
        <v>21</v>
      </c>
      <c r="E39" s="10" t="s">
        <v>202</v>
      </c>
      <c r="F39" s="43"/>
      <c r="G39" s="60"/>
      <c r="H39" s="60"/>
      <c r="I39" s="61" t="str">
        <f>IF(AND(G33&lt;&gt;"",H33&lt;&gt;""),H33-G33,"")</f>
        <v/>
      </c>
      <c r="J39" s="72" t="s">
        <v>18</v>
      </c>
      <c r="K39" s="16" t="s">
        <v>80</v>
      </c>
    </row>
    <row r="40" spans="1:11" ht="14.4" x14ac:dyDescent="0.3">
      <c r="B40" s="17"/>
      <c r="C40" s="18" t="s">
        <v>81</v>
      </c>
      <c r="D40" s="62" t="s">
        <v>21</v>
      </c>
      <c r="E40" s="18" t="s">
        <v>201</v>
      </c>
      <c r="F40" s="63"/>
      <c r="G40" s="64"/>
      <c r="H40" s="64"/>
      <c r="I40" s="65" t="str">
        <f>IF(AND(G34&lt;&gt;"",H34&lt;&gt;""),H34-G34,"")</f>
        <v/>
      </c>
      <c r="J40" s="72" t="s">
        <v>18</v>
      </c>
      <c r="K40" s="24" t="s">
        <v>178</v>
      </c>
    </row>
    <row r="41" spans="1:11" ht="27.6" x14ac:dyDescent="0.3">
      <c r="B41" s="9"/>
      <c r="C41" s="10" t="s">
        <v>68</v>
      </c>
      <c r="D41" s="44" t="s">
        <v>21</v>
      </c>
      <c r="E41" s="10" t="s">
        <v>201</v>
      </c>
      <c r="F41" s="43"/>
      <c r="G41" s="60"/>
      <c r="H41" s="60"/>
      <c r="I41" s="61" t="str">
        <f>IF(AND(G35&lt;&gt;"",H35&lt;&gt;""),H35-G35,"")</f>
        <v/>
      </c>
      <c r="J41" s="72" t="s">
        <v>18</v>
      </c>
      <c r="K41" s="16" t="s">
        <v>179</v>
      </c>
    </row>
    <row r="42" spans="1:11" ht="27.6" x14ac:dyDescent="0.3">
      <c r="B42" s="17"/>
      <c r="C42" s="18" t="s">
        <v>211</v>
      </c>
      <c r="D42" s="69" t="s">
        <v>25</v>
      </c>
      <c r="E42" s="18" t="s">
        <v>200</v>
      </c>
      <c r="F42" s="63"/>
      <c r="G42" s="64"/>
      <c r="H42" s="64"/>
      <c r="I42" s="65" t="str">
        <f>IF(AND(G36&lt;&gt;"",H36&lt;&gt;""),H36-G36,"")</f>
        <v/>
      </c>
      <c r="J42" s="72" t="s">
        <v>18</v>
      </c>
      <c r="K42" s="24" t="s">
        <v>212</v>
      </c>
    </row>
    <row r="43" spans="1:11" ht="27.6" x14ac:dyDescent="0.3">
      <c r="B43" s="9"/>
      <c r="C43" s="78" t="s">
        <v>208</v>
      </c>
      <c r="D43" s="49" t="s">
        <v>25</v>
      </c>
      <c r="E43" s="10" t="s">
        <v>203</v>
      </c>
      <c r="F43" s="43"/>
      <c r="G43" s="60"/>
      <c r="H43" s="60"/>
      <c r="I43" s="61"/>
      <c r="J43" s="72" t="s">
        <v>18</v>
      </c>
      <c r="K43" s="16" t="s">
        <v>180</v>
      </c>
    </row>
    <row r="44" spans="1:11" ht="27.6" x14ac:dyDescent="0.3">
      <c r="B44" s="17"/>
      <c r="C44" s="18" t="s">
        <v>82</v>
      </c>
      <c r="D44" s="69" t="s">
        <v>25</v>
      </c>
      <c r="E44" s="18" t="s">
        <v>31</v>
      </c>
      <c r="F44" s="63"/>
      <c r="G44" s="64"/>
      <c r="H44" s="64"/>
      <c r="I44" s="65"/>
      <c r="J44" s="72" t="s">
        <v>18</v>
      </c>
      <c r="K44" s="24" t="s">
        <v>181</v>
      </c>
    </row>
    <row r="45" spans="1:11" ht="27.6" x14ac:dyDescent="0.3">
      <c r="B45" s="9"/>
      <c r="C45" s="10" t="s">
        <v>83</v>
      </c>
      <c r="D45" s="49" t="s">
        <v>25</v>
      </c>
      <c r="E45" s="10" t="s">
        <v>203</v>
      </c>
      <c r="F45" s="43"/>
      <c r="G45" s="60"/>
      <c r="H45" s="60"/>
      <c r="I45" s="61" t="str">
        <f t="shared" ref="I45" si="3">IF(AND(G37&lt;&gt;"",H37&lt;&gt;""),H37-G37,"")</f>
        <v/>
      </c>
      <c r="J45" s="72" t="s">
        <v>18</v>
      </c>
      <c r="K45" s="16" t="s">
        <v>84</v>
      </c>
    </row>
    <row r="46" spans="1:11" ht="30" customHeight="1" x14ac:dyDescent="0.3">
      <c r="B46" s="81"/>
      <c r="C46" s="82" t="s">
        <v>205</v>
      </c>
      <c r="D46" s="83" t="s">
        <v>30</v>
      </c>
      <c r="E46" s="84" t="s">
        <v>31</v>
      </c>
      <c r="F46" s="85"/>
      <c r="G46" s="86"/>
      <c r="H46" s="86"/>
      <c r="I46" s="87" t="str">
        <f t="shared" ref="I46" si="4">IF(AND(G46&lt;&gt;"",H46&lt;&gt;""),H46-G46,"")</f>
        <v/>
      </c>
      <c r="J46" s="71" t="s">
        <v>18</v>
      </c>
      <c r="K46" s="88" t="s">
        <v>206</v>
      </c>
    </row>
    <row r="47" spans="1:11" ht="9.75" customHeight="1" thickBot="1" x14ac:dyDescent="0.35"/>
    <row r="48" spans="1:11" s="55" customFormat="1" ht="42" thickBot="1" x14ac:dyDescent="0.35">
      <c r="A48"/>
      <c r="B48" s="3"/>
      <c r="C48" s="56" t="s">
        <v>146</v>
      </c>
      <c r="D48" s="57"/>
      <c r="E48" s="58" t="s">
        <v>22</v>
      </c>
      <c r="F48" s="57"/>
      <c r="G48" s="57"/>
      <c r="H48" s="57"/>
      <c r="I48" s="57"/>
      <c r="J48" s="59" t="s">
        <v>18</v>
      </c>
      <c r="K48" s="8" t="s">
        <v>147</v>
      </c>
    </row>
    <row r="49" spans="1:11" s="55" customFormat="1" ht="27.6" x14ac:dyDescent="0.3">
      <c r="A49"/>
      <c r="B49" s="9"/>
      <c r="C49" s="10" t="s">
        <v>148</v>
      </c>
      <c r="D49" s="44" t="s">
        <v>21</v>
      </c>
      <c r="E49" s="10" t="s">
        <v>200</v>
      </c>
      <c r="F49" s="43"/>
      <c r="G49" s="60"/>
      <c r="H49" s="60"/>
      <c r="I49" s="61" t="str">
        <f t="shared" ref="I49:I57" si="5">IF(AND(G49&lt;&gt;"",H49&lt;&gt;""),H49-G49,"")</f>
        <v/>
      </c>
      <c r="J49" s="72" t="s">
        <v>18</v>
      </c>
      <c r="K49" s="16" t="s">
        <v>149</v>
      </c>
    </row>
    <row r="50" spans="1:11" s="55" customFormat="1" ht="27.6" x14ac:dyDescent="0.3">
      <c r="A50"/>
      <c r="B50" s="17"/>
      <c r="C50" s="18" t="s">
        <v>150</v>
      </c>
      <c r="D50" s="62" t="s">
        <v>21</v>
      </c>
      <c r="E50" s="18" t="s">
        <v>200</v>
      </c>
      <c r="F50" s="63"/>
      <c r="G50" s="64"/>
      <c r="H50" s="64"/>
      <c r="I50" s="65" t="str">
        <f t="shared" si="5"/>
        <v/>
      </c>
      <c r="J50" s="72" t="s">
        <v>18</v>
      </c>
      <c r="K50" s="24" t="s">
        <v>151</v>
      </c>
    </row>
    <row r="51" spans="1:11" s="55" customFormat="1" ht="27.6" x14ac:dyDescent="0.3">
      <c r="A51"/>
      <c r="B51" s="29"/>
      <c r="C51" s="30" t="s">
        <v>152</v>
      </c>
      <c r="D51" s="66" t="s">
        <v>21</v>
      </c>
      <c r="E51" s="30" t="s">
        <v>200</v>
      </c>
      <c r="F51" s="50"/>
      <c r="G51" s="67"/>
      <c r="H51" s="67"/>
      <c r="I51" s="68" t="str">
        <f t="shared" si="5"/>
        <v/>
      </c>
      <c r="J51" s="72" t="s">
        <v>18</v>
      </c>
      <c r="K51" s="36" t="s">
        <v>153</v>
      </c>
    </row>
    <row r="52" spans="1:11" s="55" customFormat="1" ht="27.6" x14ac:dyDescent="0.3">
      <c r="A52"/>
      <c r="B52" s="17"/>
      <c r="C52" s="18" t="s">
        <v>154</v>
      </c>
      <c r="D52" s="62" t="s">
        <v>21</v>
      </c>
      <c r="E52" s="77" t="s">
        <v>202</v>
      </c>
      <c r="F52" s="63"/>
      <c r="G52" s="64"/>
      <c r="H52" s="64"/>
      <c r="I52" s="65" t="str">
        <f t="shared" si="5"/>
        <v/>
      </c>
      <c r="J52" s="72" t="s">
        <v>18</v>
      </c>
      <c r="K52" s="24" t="s">
        <v>155</v>
      </c>
    </row>
    <row r="53" spans="1:11" s="55" customFormat="1" ht="27.6" x14ac:dyDescent="0.3">
      <c r="A53"/>
      <c r="B53" s="9"/>
      <c r="C53" s="10" t="s">
        <v>156</v>
      </c>
      <c r="D53" s="44" t="s">
        <v>21</v>
      </c>
      <c r="E53" s="10" t="s">
        <v>201</v>
      </c>
      <c r="F53" s="43"/>
      <c r="G53" s="60"/>
      <c r="H53" s="60"/>
      <c r="I53" s="61" t="str">
        <f t="shared" si="5"/>
        <v/>
      </c>
      <c r="J53" s="72" t="s">
        <v>18</v>
      </c>
      <c r="K53" s="75" t="s">
        <v>157</v>
      </c>
    </row>
    <row r="54" spans="1:11" s="55" customFormat="1" ht="27.6" x14ac:dyDescent="0.3">
      <c r="A54"/>
      <c r="B54" s="17"/>
      <c r="C54" s="18" t="s">
        <v>158</v>
      </c>
      <c r="D54" s="69" t="s">
        <v>25</v>
      </c>
      <c r="E54" s="18" t="s">
        <v>203</v>
      </c>
      <c r="F54" s="63"/>
      <c r="G54" s="64"/>
      <c r="H54" s="64"/>
      <c r="I54" s="65" t="str">
        <f t="shared" si="5"/>
        <v/>
      </c>
      <c r="J54" s="72" t="s">
        <v>18</v>
      </c>
      <c r="K54" s="70" t="s">
        <v>159</v>
      </c>
    </row>
    <row r="55" spans="1:11" s="55" customFormat="1" ht="27.6" x14ac:dyDescent="0.3">
      <c r="A55"/>
      <c r="B55" s="9"/>
      <c r="C55" s="10" t="s">
        <v>160</v>
      </c>
      <c r="D55" s="44" t="s">
        <v>21</v>
      </c>
      <c r="E55" s="78" t="s">
        <v>202</v>
      </c>
      <c r="F55" s="43"/>
      <c r="G55" s="60"/>
      <c r="H55" s="60"/>
      <c r="I55" s="61" t="str">
        <f t="shared" si="5"/>
        <v/>
      </c>
      <c r="J55" s="72" t="s">
        <v>18</v>
      </c>
      <c r="K55" s="76" t="s">
        <v>161</v>
      </c>
    </row>
    <row r="56" spans="1:11" s="55" customFormat="1" ht="14.4" x14ac:dyDescent="0.3">
      <c r="A56"/>
      <c r="B56" s="17"/>
      <c r="C56" s="18" t="s">
        <v>209</v>
      </c>
      <c r="D56" s="69" t="s">
        <v>25</v>
      </c>
      <c r="E56" s="18" t="s">
        <v>31</v>
      </c>
      <c r="F56" s="63"/>
      <c r="G56" s="64"/>
      <c r="H56" s="64"/>
      <c r="I56" s="65" t="str">
        <f>IF(AND(G56&lt;&gt;"",H56&lt;&gt;""),H56-G56,"")</f>
        <v/>
      </c>
      <c r="J56" s="72" t="s">
        <v>18</v>
      </c>
      <c r="K56" s="70" t="s">
        <v>210</v>
      </c>
    </row>
    <row r="57" spans="1:11" s="55" customFormat="1" ht="14.4" x14ac:dyDescent="0.3">
      <c r="A57"/>
      <c r="B57" s="90"/>
      <c r="C57" s="91" t="s">
        <v>162</v>
      </c>
      <c r="D57" s="92" t="s">
        <v>30</v>
      </c>
      <c r="E57" s="91" t="s">
        <v>31</v>
      </c>
      <c r="F57" s="93"/>
      <c r="G57" s="94"/>
      <c r="H57" s="94"/>
      <c r="I57" s="95" t="str">
        <f t="shared" si="5"/>
        <v/>
      </c>
      <c r="J57" s="72" t="s">
        <v>18</v>
      </c>
      <c r="K57" s="96" t="s">
        <v>163</v>
      </c>
    </row>
    <row r="58" spans="1:11" ht="13.5" customHeight="1" x14ac:dyDescent="0.3"/>
    <row r="59" spans="1:11" ht="13.5" customHeight="1" x14ac:dyDescent="0.3"/>
    <row r="60" spans="1:11" ht="13.5" customHeight="1" x14ac:dyDescent="0.3">
      <c r="C60" s="37" t="s">
        <v>85</v>
      </c>
    </row>
    <row r="61" spans="1:11" ht="13.5" customHeight="1" x14ac:dyDescent="0.3">
      <c r="C61" s="38" t="s">
        <v>70</v>
      </c>
    </row>
    <row r="62" spans="1:11" ht="13.5" customHeight="1" x14ac:dyDescent="0.3">
      <c r="C62" s="39" t="s">
        <v>86</v>
      </c>
    </row>
    <row r="63" spans="1:11" ht="13.5" customHeight="1" x14ac:dyDescent="0.3">
      <c r="C63" s="40" t="s">
        <v>18</v>
      </c>
    </row>
    <row r="64" spans="1:11" ht="13.5" customHeight="1" x14ac:dyDescent="0.3">
      <c r="C64" s="41" t="s">
        <v>87</v>
      </c>
    </row>
    <row r="65" spans="3:3" ht="13.5" customHeight="1" x14ac:dyDescent="0.3">
      <c r="C65" s="42" t="s">
        <v>88</v>
      </c>
    </row>
    <row r="66" spans="3:3" ht="13.5" customHeight="1" x14ac:dyDescent="0.3"/>
    <row r="67" spans="3:3" ht="13.5" customHeight="1" x14ac:dyDescent="0.3"/>
    <row r="68" spans="3:3" ht="13.5" customHeight="1" x14ac:dyDescent="0.3"/>
    <row r="69" spans="3:3" ht="13.5" customHeight="1" x14ac:dyDescent="0.3"/>
    <row r="70" spans="3:3" ht="13.5" customHeight="1" x14ac:dyDescent="0.3"/>
    <row r="71" spans="3:3" ht="13.5" customHeight="1" x14ac:dyDescent="0.3"/>
    <row r="72" spans="3:3" ht="13.5" customHeight="1" x14ac:dyDescent="0.3"/>
    <row r="73" spans="3:3" ht="13.5" customHeight="1" x14ac:dyDescent="0.3"/>
    <row r="74" spans="3:3" ht="13.5" customHeight="1" x14ac:dyDescent="0.3"/>
    <row r="75" spans="3:3" ht="13.5" customHeight="1" x14ac:dyDescent="0.3"/>
    <row r="76" spans="3:3" ht="13.5" customHeight="1" x14ac:dyDescent="0.3"/>
    <row r="77" spans="3:3" ht="13.5" customHeight="1" x14ac:dyDescent="0.3"/>
    <row r="78" spans="3:3" ht="13.5" customHeight="1" x14ac:dyDescent="0.3"/>
    <row r="79" spans="3:3" ht="13.5" customHeight="1" x14ac:dyDescent="0.3"/>
    <row r="80" spans="3:3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  <row r="999" ht="13.5" customHeight="1" x14ac:dyDescent="0.3"/>
    <row r="1000" ht="13.5" customHeight="1" x14ac:dyDescent="0.3"/>
    <row r="1001" ht="13.5" customHeight="1" x14ac:dyDescent="0.3"/>
    <row r="1002" ht="13.5" customHeight="1" x14ac:dyDescent="0.3"/>
    <row r="1003" ht="13.5" customHeight="1" x14ac:dyDescent="0.3"/>
    <row r="1004" ht="13.5" customHeight="1" x14ac:dyDescent="0.3"/>
    <row r="1005" ht="13.5" customHeight="1" x14ac:dyDescent="0.3"/>
    <row r="1006" ht="13.5" customHeight="1" x14ac:dyDescent="0.3"/>
    <row r="1007" ht="13.5" customHeight="1" x14ac:dyDescent="0.3"/>
  </sheetData>
  <mergeCells count="4">
    <mergeCell ref="J3:K3"/>
    <mergeCell ref="J2:K2"/>
    <mergeCell ref="B1:K1"/>
    <mergeCell ref="C3:G3"/>
  </mergeCells>
  <dataValidations disablePrompts="1" count="1">
    <dataValidation type="list" allowBlank="1" sqref="J7:J10 J13:J19 J22:J30 J43 J34:J39 J32 J46" xr:uid="{00000000-0002-0000-0000-000000000000}">
      <formula1>"Not Started,In Progress,Complete,Overdue,Blocked"</formula1>
    </dataValidation>
  </dataValidations>
  <pageMargins left="0.75" right="0.75" top="1" bottom="1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I1000"/>
  <sheetViews>
    <sheetView workbookViewId="0">
      <selection activeCell="H34" sqref="H34"/>
    </sheetView>
  </sheetViews>
  <sheetFormatPr defaultColWidth="14.44140625" defaultRowHeight="15" customHeight="1" x14ac:dyDescent="0.3"/>
  <cols>
    <col min="1" max="1" width="3" customWidth="1"/>
    <col min="2" max="2" width="8" customWidth="1"/>
    <col min="3" max="3" width="35" customWidth="1"/>
    <col min="4" max="4" width="15" customWidth="1"/>
    <col min="5" max="5" width="18" customWidth="1"/>
    <col min="6" max="6" width="12" customWidth="1"/>
    <col min="7" max="7" width="14" customWidth="1"/>
    <col min="8" max="8" width="50" customWidth="1"/>
    <col min="9" max="9" width="17.21875" customWidth="1"/>
    <col min="10" max="26" width="8.6640625" customWidth="1"/>
  </cols>
  <sheetData>
    <row r="1" spans="2:9" ht="39.75" customHeight="1" x14ac:dyDescent="0.3">
      <c r="B1" s="105" t="s">
        <v>89</v>
      </c>
      <c r="C1" s="102"/>
      <c r="D1" s="102"/>
      <c r="E1" s="102"/>
      <c r="F1" s="102"/>
      <c r="G1" s="102"/>
      <c r="H1" s="102"/>
    </row>
    <row r="2" spans="2:9" ht="18" customHeight="1" x14ac:dyDescent="0.3">
      <c r="B2" s="106" t="s">
        <v>165</v>
      </c>
      <c r="C2" s="102"/>
      <c r="D2" s="102"/>
      <c r="E2" s="102"/>
      <c r="F2" s="102"/>
      <c r="G2" s="102"/>
      <c r="H2" s="102"/>
    </row>
    <row r="3" spans="2:9" ht="27.75" customHeight="1" x14ac:dyDescent="0.3">
      <c r="B3" s="2" t="s">
        <v>90</v>
      </c>
      <c r="C3" s="2" t="s">
        <v>91</v>
      </c>
      <c r="D3" s="2" t="s">
        <v>92</v>
      </c>
      <c r="E3" s="2" t="s">
        <v>8</v>
      </c>
      <c r="F3" s="2" t="s">
        <v>93</v>
      </c>
      <c r="G3" s="2" t="s">
        <v>10</v>
      </c>
      <c r="H3" s="2" t="s">
        <v>14</v>
      </c>
      <c r="I3" s="2" t="s">
        <v>94</v>
      </c>
    </row>
    <row r="4" spans="2:9" ht="27.75" customHeight="1" x14ac:dyDescent="0.3">
      <c r="B4" s="43">
        <v>1</v>
      </c>
      <c r="C4" s="10" t="s">
        <v>95</v>
      </c>
      <c r="D4" s="43" t="s">
        <v>96</v>
      </c>
      <c r="E4" s="44" t="s">
        <v>21</v>
      </c>
      <c r="F4" s="43" t="s">
        <v>97</v>
      </c>
      <c r="G4" s="43"/>
      <c r="H4" s="72" t="s">
        <v>18</v>
      </c>
      <c r="I4" s="10"/>
    </row>
    <row r="5" spans="2:9" ht="27.75" customHeight="1" x14ac:dyDescent="0.3">
      <c r="B5" s="45">
        <v>2</v>
      </c>
      <c r="C5" s="46" t="s">
        <v>98</v>
      </c>
      <c r="D5" s="45" t="s">
        <v>99</v>
      </c>
      <c r="E5" s="47" t="s">
        <v>21</v>
      </c>
      <c r="F5" s="45" t="s">
        <v>97</v>
      </c>
      <c r="G5" s="45"/>
      <c r="H5" s="72" t="s">
        <v>18</v>
      </c>
      <c r="I5" s="46"/>
    </row>
    <row r="6" spans="2:9" ht="27.75" customHeight="1" x14ac:dyDescent="0.3">
      <c r="B6" s="43">
        <v>3</v>
      </c>
      <c r="C6" s="10" t="s">
        <v>100</v>
      </c>
      <c r="D6" s="43" t="s">
        <v>101</v>
      </c>
      <c r="E6" s="44" t="s">
        <v>21</v>
      </c>
      <c r="F6" s="43" t="s">
        <v>97</v>
      </c>
      <c r="G6" s="43"/>
      <c r="H6" s="72" t="s">
        <v>18</v>
      </c>
      <c r="I6" s="10"/>
    </row>
    <row r="7" spans="2:9" ht="27.75" customHeight="1" x14ac:dyDescent="0.3">
      <c r="B7" s="45">
        <v>4</v>
      </c>
      <c r="C7" s="46" t="s">
        <v>102</v>
      </c>
      <c r="D7" s="45" t="s">
        <v>103</v>
      </c>
      <c r="E7" s="47" t="s">
        <v>21</v>
      </c>
      <c r="F7" s="45" t="s">
        <v>97</v>
      </c>
      <c r="G7" s="45"/>
      <c r="H7" s="72" t="s">
        <v>18</v>
      </c>
      <c r="I7" s="46"/>
    </row>
    <row r="8" spans="2:9" ht="27.75" customHeight="1" x14ac:dyDescent="0.3">
      <c r="B8" s="43">
        <v>5</v>
      </c>
      <c r="C8" s="10" t="s">
        <v>104</v>
      </c>
      <c r="D8" s="43" t="s">
        <v>105</v>
      </c>
      <c r="E8" s="44" t="s">
        <v>21</v>
      </c>
      <c r="F8" s="43" t="s">
        <v>97</v>
      </c>
      <c r="G8" s="43"/>
      <c r="H8" s="72" t="s">
        <v>18</v>
      </c>
      <c r="I8" s="10"/>
    </row>
    <row r="9" spans="2:9" ht="27.75" customHeight="1" x14ac:dyDescent="0.3">
      <c r="B9" s="45">
        <v>6</v>
      </c>
      <c r="C9" s="46" t="s">
        <v>106</v>
      </c>
      <c r="D9" s="45" t="s">
        <v>107</v>
      </c>
      <c r="E9" s="47" t="s">
        <v>21</v>
      </c>
      <c r="F9" s="45" t="s">
        <v>108</v>
      </c>
      <c r="G9" s="45"/>
      <c r="H9" s="72" t="s">
        <v>18</v>
      </c>
      <c r="I9" s="46"/>
    </row>
    <row r="10" spans="2:9" ht="27.75" customHeight="1" x14ac:dyDescent="0.3">
      <c r="B10" s="43">
        <v>7</v>
      </c>
      <c r="C10" s="10" t="s">
        <v>109</v>
      </c>
      <c r="D10" s="43" t="s">
        <v>110</v>
      </c>
      <c r="E10" s="44" t="s">
        <v>21</v>
      </c>
      <c r="F10" s="43" t="s">
        <v>108</v>
      </c>
      <c r="G10" s="43"/>
      <c r="H10" s="72" t="s">
        <v>18</v>
      </c>
      <c r="I10" s="10"/>
    </row>
    <row r="11" spans="2:9" ht="27.75" customHeight="1" x14ac:dyDescent="0.3">
      <c r="B11" s="45">
        <v>8</v>
      </c>
      <c r="C11" s="46" t="s">
        <v>111</v>
      </c>
      <c r="D11" s="45" t="s">
        <v>112</v>
      </c>
      <c r="E11" s="47" t="s">
        <v>21</v>
      </c>
      <c r="F11" s="45" t="s">
        <v>108</v>
      </c>
      <c r="G11" s="45"/>
      <c r="H11" s="72" t="s">
        <v>18</v>
      </c>
      <c r="I11" s="46"/>
    </row>
    <row r="12" spans="2:9" ht="27.75" customHeight="1" x14ac:dyDescent="0.3">
      <c r="B12" s="43">
        <v>9</v>
      </c>
      <c r="C12" s="10" t="s">
        <v>113</v>
      </c>
      <c r="D12" s="43" t="s">
        <v>114</v>
      </c>
      <c r="E12" s="44" t="s">
        <v>21</v>
      </c>
      <c r="F12" s="43" t="s">
        <v>108</v>
      </c>
      <c r="G12" s="43"/>
      <c r="H12" s="72" t="s">
        <v>18</v>
      </c>
      <c r="I12" s="10"/>
    </row>
    <row r="13" spans="2:9" ht="27.75" customHeight="1" x14ac:dyDescent="0.3">
      <c r="B13" s="45">
        <v>10</v>
      </c>
      <c r="C13" s="46" t="s">
        <v>115</v>
      </c>
      <c r="D13" s="45" t="s">
        <v>116</v>
      </c>
      <c r="E13" s="47" t="s">
        <v>21</v>
      </c>
      <c r="F13" s="45" t="s">
        <v>108</v>
      </c>
      <c r="G13" s="45"/>
      <c r="H13" s="72" t="s">
        <v>18</v>
      </c>
      <c r="I13" s="46"/>
    </row>
    <row r="14" spans="2:9" ht="27.75" customHeight="1" x14ac:dyDescent="0.3">
      <c r="B14" s="43">
        <v>11</v>
      </c>
      <c r="C14" s="10" t="s">
        <v>117</v>
      </c>
      <c r="D14" s="43" t="s">
        <v>118</v>
      </c>
      <c r="E14" s="44" t="s">
        <v>21</v>
      </c>
      <c r="F14" s="43" t="s">
        <v>119</v>
      </c>
      <c r="G14" s="43"/>
      <c r="H14" s="72" t="s">
        <v>18</v>
      </c>
      <c r="I14" s="10"/>
    </row>
    <row r="15" spans="2:9" ht="27.75" customHeight="1" x14ac:dyDescent="0.3">
      <c r="B15" s="45">
        <v>12</v>
      </c>
      <c r="C15" s="46" t="s">
        <v>120</v>
      </c>
      <c r="D15" s="45" t="s">
        <v>121</v>
      </c>
      <c r="E15" s="47" t="s">
        <v>21</v>
      </c>
      <c r="F15" s="45" t="s">
        <v>119</v>
      </c>
      <c r="G15" s="45"/>
      <c r="H15" s="72" t="s">
        <v>18</v>
      </c>
      <c r="I15" s="46"/>
    </row>
    <row r="16" spans="2:9" ht="27.75" customHeight="1" x14ac:dyDescent="0.3">
      <c r="B16" s="43">
        <v>13</v>
      </c>
      <c r="C16" s="10" t="s">
        <v>122</v>
      </c>
      <c r="D16" s="43" t="s">
        <v>123</v>
      </c>
      <c r="E16" s="44" t="s">
        <v>21</v>
      </c>
      <c r="F16" s="43" t="s">
        <v>119</v>
      </c>
      <c r="G16" s="43"/>
      <c r="H16" s="72" t="s">
        <v>18</v>
      </c>
      <c r="I16" s="10"/>
    </row>
    <row r="17" spans="2:9" ht="27.75" customHeight="1" x14ac:dyDescent="0.3">
      <c r="B17" s="45">
        <v>14</v>
      </c>
      <c r="C17" s="46" t="s">
        <v>124</v>
      </c>
      <c r="D17" s="45" t="s">
        <v>125</v>
      </c>
      <c r="E17" s="47" t="s">
        <v>21</v>
      </c>
      <c r="F17" s="45" t="s">
        <v>119</v>
      </c>
      <c r="G17" s="45"/>
      <c r="H17" s="72" t="s">
        <v>18</v>
      </c>
      <c r="I17" s="46"/>
    </row>
    <row r="18" spans="2:9" ht="27.75" customHeight="1" x14ac:dyDescent="0.3">
      <c r="B18" s="43">
        <v>15</v>
      </c>
      <c r="C18" s="10" t="s">
        <v>126</v>
      </c>
      <c r="D18" s="43" t="s">
        <v>127</v>
      </c>
      <c r="E18" s="44" t="s">
        <v>21</v>
      </c>
      <c r="F18" s="43" t="s">
        <v>119</v>
      </c>
      <c r="G18" s="43"/>
      <c r="H18" s="72" t="s">
        <v>18</v>
      </c>
      <c r="I18" s="10"/>
    </row>
    <row r="19" spans="2:9" ht="60" customHeight="1" x14ac:dyDescent="0.3">
      <c r="B19" s="45">
        <v>16</v>
      </c>
      <c r="C19" s="46" t="s">
        <v>128</v>
      </c>
      <c r="D19" s="45" t="s">
        <v>129</v>
      </c>
      <c r="E19" s="48" t="s">
        <v>25</v>
      </c>
      <c r="F19" s="45" t="s">
        <v>97</v>
      </c>
      <c r="G19" s="45"/>
      <c r="H19" s="72" t="s">
        <v>18</v>
      </c>
      <c r="I19" s="46"/>
    </row>
    <row r="20" spans="2:9" ht="27.75" customHeight="1" x14ac:dyDescent="0.3">
      <c r="B20" s="43">
        <v>17</v>
      </c>
      <c r="C20" s="10" t="s">
        <v>130</v>
      </c>
      <c r="D20" s="43" t="s">
        <v>131</v>
      </c>
      <c r="E20" s="49" t="s">
        <v>25</v>
      </c>
      <c r="F20" s="43" t="s">
        <v>97</v>
      </c>
      <c r="G20" s="43"/>
      <c r="H20" s="72" t="s">
        <v>18</v>
      </c>
      <c r="I20" s="10"/>
    </row>
    <row r="21" spans="2:9" ht="27.75" customHeight="1" x14ac:dyDescent="0.3">
      <c r="B21" s="45">
        <v>18</v>
      </c>
      <c r="C21" s="46" t="s">
        <v>132</v>
      </c>
      <c r="D21" s="45" t="s">
        <v>133</v>
      </c>
      <c r="E21" s="48" t="s">
        <v>25</v>
      </c>
      <c r="F21" s="45" t="s">
        <v>108</v>
      </c>
      <c r="G21" s="45"/>
      <c r="H21" s="72" t="s">
        <v>18</v>
      </c>
      <c r="I21" s="46"/>
    </row>
    <row r="22" spans="2:9" ht="48" customHeight="1" x14ac:dyDescent="0.3">
      <c r="B22" s="50">
        <v>19</v>
      </c>
      <c r="C22" s="30" t="s">
        <v>134</v>
      </c>
      <c r="D22" s="50" t="s">
        <v>135</v>
      </c>
      <c r="E22" s="51" t="s">
        <v>21</v>
      </c>
      <c r="F22" s="50" t="s">
        <v>164</v>
      </c>
      <c r="G22" s="50"/>
      <c r="H22" s="72" t="s">
        <v>18</v>
      </c>
      <c r="I22" s="30"/>
    </row>
    <row r="23" spans="2:9" ht="55.5" customHeight="1" x14ac:dyDescent="0.3">
      <c r="B23" s="45">
        <v>20</v>
      </c>
      <c r="C23" s="46" t="s">
        <v>136</v>
      </c>
      <c r="D23" s="45" t="s">
        <v>137</v>
      </c>
      <c r="E23" s="48" t="s">
        <v>25</v>
      </c>
      <c r="F23" s="45" t="s">
        <v>108</v>
      </c>
      <c r="G23" s="45"/>
      <c r="H23" s="72" t="s">
        <v>18</v>
      </c>
      <c r="I23" s="46"/>
    </row>
    <row r="24" spans="2:9" ht="57" customHeight="1" x14ac:dyDescent="0.3">
      <c r="B24" s="50">
        <v>21</v>
      </c>
      <c r="C24" s="30" t="s">
        <v>138</v>
      </c>
      <c r="D24" s="50" t="s">
        <v>139</v>
      </c>
      <c r="E24" s="51" t="s">
        <v>21</v>
      </c>
      <c r="F24" s="50" t="s">
        <v>119</v>
      </c>
      <c r="G24" s="50"/>
      <c r="H24" s="72" t="s">
        <v>18</v>
      </c>
      <c r="I24" s="30"/>
    </row>
    <row r="25" spans="2:9" ht="57" customHeight="1" x14ac:dyDescent="0.3">
      <c r="B25" s="52">
        <v>22</v>
      </c>
      <c r="C25" s="53" t="s">
        <v>140</v>
      </c>
      <c r="D25" s="52" t="s">
        <v>141</v>
      </c>
      <c r="E25" s="52" t="s">
        <v>21</v>
      </c>
      <c r="F25" s="52" t="s">
        <v>164</v>
      </c>
      <c r="G25" s="52"/>
      <c r="H25" s="72" t="s">
        <v>18</v>
      </c>
      <c r="I25" s="53" t="s">
        <v>143</v>
      </c>
    </row>
    <row r="26" spans="2:9" ht="52.5" customHeight="1" x14ac:dyDescent="0.3">
      <c r="B26" s="52">
        <v>23</v>
      </c>
      <c r="C26" s="53" t="s">
        <v>144</v>
      </c>
      <c r="D26" s="52" t="s">
        <v>145</v>
      </c>
      <c r="E26" s="52" t="s">
        <v>21</v>
      </c>
      <c r="F26" s="52" t="s">
        <v>164</v>
      </c>
      <c r="G26" s="52"/>
      <c r="H26" s="72" t="s">
        <v>18</v>
      </c>
      <c r="I26" s="53" t="s">
        <v>142</v>
      </c>
    </row>
    <row r="27" spans="2:9" ht="55.2" x14ac:dyDescent="0.3">
      <c r="B27" s="45">
        <v>24</v>
      </c>
      <c r="C27" s="46" t="s">
        <v>166</v>
      </c>
      <c r="D27" s="45" t="s">
        <v>167</v>
      </c>
      <c r="E27" s="47" t="s">
        <v>21</v>
      </c>
      <c r="F27" s="45" t="s">
        <v>164</v>
      </c>
      <c r="G27" s="45"/>
      <c r="H27" s="72" t="s">
        <v>18</v>
      </c>
      <c r="I27" s="46" t="s">
        <v>168</v>
      </c>
    </row>
    <row r="28" spans="2:9" ht="55.2" x14ac:dyDescent="0.3">
      <c r="B28" s="43">
        <v>25</v>
      </c>
      <c r="C28" s="10" t="s">
        <v>169</v>
      </c>
      <c r="D28" s="43" t="s">
        <v>170</v>
      </c>
      <c r="E28" s="44" t="s">
        <v>21</v>
      </c>
      <c r="F28" s="43" t="s">
        <v>164</v>
      </c>
      <c r="G28" s="43"/>
      <c r="H28" s="72" t="s">
        <v>18</v>
      </c>
      <c r="I28" s="10" t="s">
        <v>171</v>
      </c>
    </row>
    <row r="29" spans="2:9" ht="41.4" x14ac:dyDescent="0.3">
      <c r="B29" s="45">
        <v>26</v>
      </c>
      <c r="C29" s="46" t="s">
        <v>172</v>
      </c>
      <c r="D29" s="45" t="s">
        <v>173</v>
      </c>
      <c r="E29" s="48" t="s">
        <v>25</v>
      </c>
      <c r="F29" s="45" t="s">
        <v>164</v>
      </c>
      <c r="G29" s="45"/>
      <c r="H29" s="72" t="s">
        <v>18</v>
      </c>
      <c r="I29" s="46" t="s">
        <v>174</v>
      </c>
    </row>
    <row r="30" spans="2:9" ht="55.2" x14ac:dyDescent="0.3">
      <c r="B30" s="43">
        <v>27</v>
      </c>
      <c r="C30" s="10" t="s">
        <v>182</v>
      </c>
      <c r="D30" s="43" t="s">
        <v>183</v>
      </c>
      <c r="E30" s="44" t="s">
        <v>21</v>
      </c>
      <c r="F30" s="43" t="s">
        <v>108</v>
      </c>
      <c r="G30" s="43"/>
      <c r="H30" s="72" t="s">
        <v>18</v>
      </c>
      <c r="I30" s="10" t="s">
        <v>184</v>
      </c>
    </row>
    <row r="31" spans="2:9" ht="55.2" x14ac:dyDescent="0.3">
      <c r="B31" s="45">
        <v>28</v>
      </c>
      <c r="C31" s="46" t="s">
        <v>185</v>
      </c>
      <c r="D31" s="45" t="s">
        <v>186</v>
      </c>
      <c r="E31" s="47" t="s">
        <v>21</v>
      </c>
      <c r="F31" s="45" t="s">
        <v>108</v>
      </c>
      <c r="G31" s="45"/>
      <c r="H31" s="72" t="s">
        <v>18</v>
      </c>
      <c r="I31" s="46" t="s">
        <v>187</v>
      </c>
    </row>
    <row r="32" spans="2:9" ht="69" x14ac:dyDescent="0.3">
      <c r="B32" s="43">
        <v>29</v>
      </c>
      <c r="C32" s="10" t="s">
        <v>188</v>
      </c>
      <c r="D32" s="43" t="s">
        <v>189</v>
      </c>
      <c r="E32" s="44" t="s">
        <v>21</v>
      </c>
      <c r="F32" s="43" t="s">
        <v>108</v>
      </c>
      <c r="G32" s="43"/>
      <c r="H32" s="72" t="s">
        <v>18</v>
      </c>
      <c r="I32" s="10" t="s">
        <v>190</v>
      </c>
    </row>
    <row r="33" spans="2:9" ht="69" x14ac:dyDescent="0.3">
      <c r="B33" s="45">
        <v>30</v>
      </c>
      <c r="C33" s="46" t="s">
        <v>191</v>
      </c>
      <c r="D33" s="45" t="s">
        <v>192</v>
      </c>
      <c r="E33" s="47" t="s">
        <v>21</v>
      </c>
      <c r="F33" s="45" t="s">
        <v>119</v>
      </c>
      <c r="G33" s="45"/>
      <c r="H33" s="72" t="s">
        <v>18</v>
      </c>
      <c r="I33" s="46" t="s">
        <v>193</v>
      </c>
    </row>
    <row r="34" spans="2:9" ht="55.2" x14ac:dyDescent="0.3">
      <c r="B34" s="43">
        <v>31</v>
      </c>
      <c r="C34" s="10" t="s">
        <v>194</v>
      </c>
      <c r="D34" s="43" t="s">
        <v>195</v>
      </c>
      <c r="E34" s="49" t="s">
        <v>25</v>
      </c>
      <c r="F34" s="43" t="s">
        <v>119</v>
      </c>
      <c r="G34" s="43"/>
      <c r="H34" s="72" t="s">
        <v>18</v>
      </c>
      <c r="I34" s="10" t="s">
        <v>196</v>
      </c>
    </row>
    <row r="35" spans="2:9" ht="13.5" customHeight="1" x14ac:dyDescent="0.3"/>
    <row r="36" spans="2:9" ht="13.5" customHeight="1" x14ac:dyDescent="0.3"/>
    <row r="37" spans="2:9" ht="13.5" customHeight="1" x14ac:dyDescent="0.3"/>
    <row r="38" spans="2:9" ht="13.5" customHeight="1" x14ac:dyDescent="0.3"/>
    <row r="39" spans="2:9" ht="13.5" customHeight="1" x14ac:dyDescent="0.3"/>
    <row r="40" spans="2:9" ht="13.5" customHeight="1" x14ac:dyDescent="0.3"/>
    <row r="41" spans="2:9" ht="13.5" customHeight="1" x14ac:dyDescent="0.3"/>
    <row r="42" spans="2:9" ht="13.5" customHeight="1" x14ac:dyDescent="0.3"/>
    <row r="43" spans="2:9" ht="13.5" customHeight="1" x14ac:dyDescent="0.3"/>
    <row r="44" spans="2:9" ht="13.5" customHeight="1" x14ac:dyDescent="0.3"/>
    <row r="45" spans="2:9" ht="13.5" customHeight="1" x14ac:dyDescent="0.3"/>
    <row r="46" spans="2:9" ht="13.5" customHeight="1" x14ac:dyDescent="0.3"/>
    <row r="47" spans="2:9" ht="13.5" customHeight="1" x14ac:dyDescent="0.3"/>
    <row r="48" spans="2:9" ht="13.5" customHeight="1" x14ac:dyDescent="0.3"/>
    <row r="49" ht="13.5" customHeight="1" x14ac:dyDescent="0.3"/>
    <row r="50" ht="13.5" customHeight="1" x14ac:dyDescent="0.3"/>
    <row r="51" ht="13.5" customHeight="1" x14ac:dyDescent="0.3"/>
    <row r="52" ht="13.5" customHeight="1" x14ac:dyDescent="0.3"/>
    <row r="53" ht="13.5" customHeight="1" x14ac:dyDescent="0.3"/>
    <row r="54" ht="13.5" customHeight="1" x14ac:dyDescent="0.3"/>
    <row r="55" ht="13.5" customHeight="1" x14ac:dyDescent="0.3"/>
    <row r="56" ht="13.5" customHeight="1" x14ac:dyDescent="0.3"/>
    <row r="57" ht="13.5" customHeight="1" x14ac:dyDescent="0.3"/>
    <row r="58" ht="13.5" customHeight="1" x14ac:dyDescent="0.3"/>
    <row r="59" ht="13.5" customHeight="1" x14ac:dyDescent="0.3"/>
    <row r="60" ht="13.5" customHeight="1" x14ac:dyDescent="0.3"/>
    <row r="61" ht="13.5" customHeight="1" x14ac:dyDescent="0.3"/>
    <row r="62" ht="13.5" customHeight="1" x14ac:dyDescent="0.3"/>
    <row r="63" ht="13.5" customHeight="1" x14ac:dyDescent="0.3"/>
    <row r="64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  <row r="80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  <row r="999" ht="13.5" customHeight="1" x14ac:dyDescent="0.3"/>
    <row r="1000" ht="13.5" customHeight="1" x14ac:dyDescent="0.3"/>
  </sheetData>
  <mergeCells count="2">
    <mergeCell ref="B1:H1"/>
    <mergeCell ref="B2:H2"/>
  </mergeCells>
  <pageMargins left="0.75" right="0.75" top="1" bottom="1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2</vt:i4>
      </vt:variant>
    </vt:vector>
  </HeadingPairs>
  <TitlesOfParts>
    <vt:vector size="2" baseType="lpstr">
      <vt:lpstr>Kế hoạch dự án</vt:lpstr>
      <vt:lpstr>Product Backlog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Le</dc:creator>
  <cp:lastModifiedBy>Huy Le</cp:lastModifiedBy>
  <dcterms:created xsi:type="dcterms:W3CDTF">2026-03-31T06:59:42Z</dcterms:created>
  <dcterms:modified xsi:type="dcterms:W3CDTF">2026-06-15T07:11:20Z</dcterms:modified>
</cp:coreProperties>
</file>